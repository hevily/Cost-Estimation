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Documents\项目管理\成本估算\"/>
    </mc:Choice>
  </mc:AlternateContent>
  <bookViews>
    <workbookView xWindow="0" yWindow="0" windowWidth="22260" windowHeight="12645"/>
  </bookViews>
  <sheets>
    <sheet name="Introduction" sheetId="1" r:id="rId1"/>
    <sheet name="Data" sheetId="2" state="hidden" r:id="rId2"/>
    <sheet name="Calculator" sheetId="5" r:id="rId3"/>
    <sheet name="SF" sheetId="4" r:id="rId4"/>
    <sheet name="EM1" sheetId="3" r:id="rId5"/>
    <sheet name="EM2" sheetId="7" r:id="rId6"/>
  </sheets>
  <definedNames>
    <definedName name="EM2SCALE">Data!$A$30:$A$35</definedName>
    <definedName name="EMSCALE">Data!$A$10:$A$15</definedName>
    <definedName name="Language">Data!$A$18:$A$25</definedName>
    <definedName name="SFSCALE">Data!$A$2:$A$7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7" l="1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F19" i="5" s="1"/>
  <c r="F11" i="5" l="1"/>
  <c r="F13" i="5" s="1"/>
  <c r="D11" i="3"/>
  <c r="D10" i="3"/>
  <c r="D9" i="3"/>
  <c r="D8" i="3"/>
  <c r="D7" i="3"/>
  <c r="D6" i="3"/>
  <c r="D5" i="3"/>
  <c r="D9" i="4"/>
  <c r="D8" i="4"/>
  <c r="D7" i="4"/>
  <c r="D6" i="4"/>
  <c r="D5" i="4"/>
  <c r="B19" i="5" l="1"/>
  <c r="B15" i="5"/>
  <c r="F20" i="5" s="1"/>
  <c r="F21" i="5" s="1"/>
  <c r="B20" i="5" l="1"/>
  <c r="B21" i="5" s="1"/>
</calcChain>
</file>

<file path=xl/comments1.xml><?xml version="1.0" encoding="utf-8"?>
<comments xmlns="http://schemas.openxmlformats.org/spreadsheetml/2006/main">
  <authors>
    <author>李灯举</author>
  </authors>
  <commentList>
    <comment ref="A6" authorId="0" shapeId="0">
      <text>
        <r>
          <rPr>
            <sz val="9"/>
            <color indexed="81"/>
            <rFont val="宋体"/>
            <family val="3"/>
            <charset val="134"/>
          </rPr>
          <t>你可以通过此工作簿，通过COCOMO模型来快速设定参数完成成本估算。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前期设计模型</t>
        </r>
        <r>
          <rPr>
            <sz val="9"/>
            <color indexed="81"/>
            <rFont val="宋体"/>
            <family val="3"/>
            <charset val="134"/>
          </rPr>
          <t>适用于体系结构设计阶段。</t>
        </r>
        <r>
          <rPr>
            <b/>
            <sz val="9"/>
            <color indexed="81"/>
            <rFont val="宋体"/>
            <family val="3"/>
            <charset val="134"/>
          </rPr>
          <t xml:space="preserve">
后体系设计模型</t>
        </r>
        <r>
          <rPr>
            <sz val="9"/>
            <color indexed="81"/>
            <rFont val="宋体"/>
            <family val="3"/>
            <charset val="134"/>
          </rPr>
          <t>适用于完成体系结构设计之后的软件开发阶段。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代码行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Very Low：很低
Low：低
Normal：正常
High：高
Very High：很高
Extremely High：极高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Very Low:很低
Low：低
Normal：正常
High：高
Very High：很高
Extremely High：极高</t>
        </r>
      </text>
    </comment>
  </commentList>
</comments>
</file>

<file path=xl/sharedStrings.xml><?xml version="1.0" encoding="utf-8"?>
<sst xmlns="http://schemas.openxmlformats.org/spreadsheetml/2006/main" count="206" uniqueCount="153">
  <si>
    <t>SF Scale</t>
  </si>
  <si>
    <t>PREC</t>
  </si>
  <si>
    <t>FLEX</t>
  </si>
  <si>
    <t>TEAM</t>
  </si>
  <si>
    <t>RESL</t>
  </si>
  <si>
    <t>PMAT</t>
    <phoneticPr fontId="6" type="noConversion"/>
  </si>
  <si>
    <t>Very Low</t>
  </si>
  <si>
    <t>Low</t>
  </si>
  <si>
    <t>Nominal</t>
  </si>
  <si>
    <t>High</t>
  </si>
  <si>
    <t>Very High</t>
  </si>
  <si>
    <t>Extremely High</t>
  </si>
  <si>
    <t>EM Scale</t>
  </si>
  <si>
    <t>RCPX</t>
  </si>
  <si>
    <t>RUSE</t>
  </si>
  <si>
    <t>PDIF</t>
  </si>
  <si>
    <t>PERS</t>
  </si>
  <si>
    <t>PREX</t>
  </si>
  <si>
    <t>FCIL</t>
  </si>
  <si>
    <t>SCED</t>
  </si>
  <si>
    <t>COCOMO 2成本估算</t>
    <phoneticPr fontId="5" type="noConversion"/>
  </si>
  <si>
    <t>PMAT</t>
    <phoneticPr fontId="6" type="noConversion"/>
  </si>
  <si>
    <t>A=</t>
    <phoneticPr fontId="5" type="noConversion"/>
  </si>
  <si>
    <t>B=</t>
    <phoneticPr fontId="5" type="noConversion"/>
  </si>
  <si>
    <t>值</t>
    <phoneticPr fontId="5" type="noConversion"/>
  </si>
  <si>
    <t>E=</t>
    <phoneticPr fontId="5" type="noConversion"/>
  </si>
  <si>
    <t>EM=</t>
    <phoneticPr fontId="5" type="noConversion"/>
  </si>
  <si>
    <t>Language/Technology</t>
  </si>
  <si>
    <t>SLOC</t>
  </si>
  <si>
    <t>C++</t>
  </si>
  <si>
    <t>Java</t>
  </si>
  <si>
    <t>Visual C++</t>
  </si>
  <si>
    <t>HTML</t>
  </si>
  <si>
    <t>JavaScript</t>
  </si>
  <si>
    <t>VB 5</t>
  </si>
  <si>
    <t>SQL</t>
  </si>
  <si>
    <t>VB Script</t>
  </si>
  <si>
    <t>备注</t>
    <phoneticPr fontId="5" type="noConversion"/>
  </si>
  <si>
    <t>备注</t>
    <phoneticPr fontId="5" type="noConversion"/>
  </si>
  <si>
    <t>项目语言</t>
    <phoneticPr fontId="5" type="noConversion"/>
  </si>
  <si>
    <t>名称</t>
    <phoneticPr fontId="5" type="noConversion"/>
  </si>
  <si>
    <t>备注</t>
    <phoneticPr fontId="5" type="noConversion"/>
  </si>
  <si>
    <t>代码行/功能点</t>
    <phoneticPr fontId="5" type="noConversion"/>
  </si>
  <si>
    <t>名称</t>
    <phoneticPr fontId="5" type="noConversion"/>
  </si>
  <si>
    <t>常量参数</t>
    <phoneticPr fontId="5" type="noConversion"/>
  </si>
  <si>
    <t>自动生成</t>
    <phoneticPr fontId="5" type="noConversion"/>
  </si>
  <si>
    <t>手动输入</t>
    <phoneticPr fontId="5" type="noConversion"/>
  </si>
  <si>
    <t>功能点</t>
    <phoneticPr fontId="5" type="noConversion"/>
  </si>
  <si>
    <t>代码行</t>
    <phoneticPr fontId="5" type="noConversion"/>
  </si>
  <si>
    <t>等级</t>
    <phoneticPr fontId="5" type="noConversion"/>
  </si>
  <si>
    <t>描述</t>
    <phoneticPr fontId="5" type="noConversion"/>
  </si>
  <si>
    <t>PM=</t>
    <phoneticPr fontId="5" type="noConversion"/>
  </si>
  <si>
    <t>SLOC</t>
    <phoneticPr fontId="5" type="noConversion"/>
  </si>
  <si>
    <t>FPs</t>
    <phoneticPr fontId="5" type="noConversion"/>
  </si>
  <si>
    <t>编程语言</t>
    <phoneticPr fontId="5" type="noConversion"/>
  </si>
  <si>
    <t>工作量</t>
    <phoneticPr fontId="5" type="noConversion"/>
  </si>
  <si>
    <t>比例因子</t>
    <phoneticPr fontId="5" type="noConversion"/>
  </si>
  <si>
    <t>驱动因子</t>
    <phoneticPr fontId="5" type="noConversion"/>
  </si>
  <si>
    <t>过程成熟度</t>
    <phoneticPr fontId="5" type="noConversion"/>
  </si>
  <si>
    <t>项目先例性</t>
    <phoneticPr fontId="5" type="noConversion"/>
  </si>
  <si>
    <t>开发灵活性</t>
    <phoneticPr fontId="5" type="noConversion"/>
  </si>
  <si>
    <t>项目组凝聚力</t>
    <phoneticPr fontId="5" type="noConversion"/>
  </si>
  <si>
    <t>风险排除度</t>
    <phoneticPr fontId="5" type="noConversion"/>
  </si>
  <si>
    <t>工作量乘数</t>
    <phoneticPr fontId="5" type="noConversion"/>
  </si>
  <si>
    <t>描述</t>
    <phoneticPr fontId="5" type="noConversion"/>
  </si>
  <si>
    <t>等级</t>
    <phoneticPr fontId="5" type="noConversion"/>
  </si>
  <si>
    <t>值</t>
    <phoneticPr fontId="5" type="noConversion"/>
  </si>
  <si>
    <t>产品可靠性和复杂度</t>
    <phoneticPr fontId="5" type="noConversion"/>
  </si>
  <si>
    <t>需求的可重用性</t>
    <phoneticPr fontId="5" type="noConversion"/>
  </si>
  <si>
    <t>平台难度</t>
    <phoneticPr fontId="5" type="noConversion"/>
  </si>
  <si>
    <t>人员的能力</t>
    <phoneticPr fontId="5" type="noConversion"/>
  </si>
  <si>
    <t>人员的经验</t>
    <phoneticPr fontId="5" type="noConversion"/>
  </si>
  <si>
    <t>设施的可重用性</t>
    <phoneticPr fontId="5" type="noConversion"/>
  </si>
  <si>
    <t>进度压力</t>
    <phoneticPr fontId="5" type="noConversion"/>
  </si>
  <si>
    <t>指数比例因子</t>
    <phoneticPr fontId="5" type="noConversion"/>
  </si>
  <si>
    <t>成本驱动因子——后体系结构</t>
    <phoneticPr fontId="5" type="noConversion"/>
  </si>
  <si>
    <t>成本驱动因子</t>
    <phoneticPr fontId="5" type="noConversion"/>
  </si>
  <si>
    <t>产品属性</t>
    <phoneticPr fontId="5" type="noConversion"/>
  </si>
  <si>
    <t>RELY</t>
  </si>
  <si>
    <t>DATA</t>
  </si>
  <si>
    <t>DOCU</t>
  </si>
  <si>
    <t>CPLX</t>
  </si>
  <si>
    <t>TIME</t>
  </si>
  <si>
    <t>STOR</t>
  </si>
  <si>
    <t>PVOL</t>
  </si>
  <si>
    <t>ACAP</t>
  </si>
  <si>
    <t>APEX</t>
  </si>
  <si>
    <t>PCAP</t>
  </si>
  <si>
    <t>PLEX</t>
  </si>
  <si>
    <t>LTEX</t>
  </si>
  <si>
    <t>PCON</t>
  </si>
  <si>
    <t>TOOL</t>
  </si>
  <si>
    <t>SITE</t>
  </si>
  <si>
    <t>EM Scale2</t>
    <phoneticPr fontId="5" type="noConversion"/>
  </si>
  <si>
    <t>可靠性</t>
    <phoneticPr fontId="5" type="noConversion"/>
  </si>
  <si>
    <t>数据规模</t>
    <phoneticPr fontId="5" type="noConversion"/>
  </si>
  <si>
    <t>文档量</t>
    <phoneticPr fontId="5" type="noConversion"/>
  </si>
  <si>
    <t>复杂性</t>
    <phoneticPr fontId="5" type="noConversion"/>
  </si>
  <si>
    <t>可复用性</t>
    <phoneticPr fontId="5" type="noConversion"/>
  </si>
  <si>
    <t>平台属性</t>
    <phoneticPr fontId="5" type="noConversion"/>
  </si>
  <si>
    <t>项目属性</t>
    <phoneticPr fontId="5" type="noConversion"/>
  </si>
  <si>
    <t>人员属性</t>
    <phoneticPr fontId="5" type="noConversion"/>
  </si>
  <si>
    <t>执行时间的约束</t>
    <phoneticPr fontId="5" type="noConversion"/>
  </si>
  <si>
    <t>存储约束</t>
    <phoneticPr fontId="5" type="noConversion"/>
  </si>
  <si>
    <t>平台易用性</t>
    <phoneticPr fontId="5" type="noConversion"/>
  </si>
  <si>
    <t>分析能力</t>
    <phoneticPr fontId="5" type="noConversion"/>
  </si>
  <si>
    <t>AEXP</t>
    <phoneticPr fontId="5" type="noConversion"/>
  </si>
  <si>
    <t>应用经验</t>
    <phoneticPr fontId="5" type="noConversion"/>
  </si>
  <si>
    <t>程序员水平</t>
    <phoneticPr fontId="5" type="noConversion"/>
  </si>
  <si>
    <t>平台经验</t>
    <phoneticPr fontId="5" type="noConversion"/>
  </si>
  <si>
    <t>语言与工具经验</t>
    <phoneticPr fontId="5" type="noConversion"/>
  </si>
  <si>
    <t>人员连续性</t>
    <phoneticPr fontId="5" type="noConversion"/>
  </si>
  <si>
    <t>使用软件工具的水平</t>
    <phoneticPr fontId="5" type="noConversion"/>
  </si>
  <si>
    <t>工作的分布程度</t>
    <phoneticPr fontId="5" type="noConversion"/>
  </si>
  <si>
    <t>进度约束</t>
    <phoneticPr fontId="5" type="noConversion"/>
  </si>
  <si>
    <t>工作量系数(早期设计)</t>
    <phoneticPr fontId="5" type="noConversion"/>
  </si>
  <si>
    <t>EM2=</t>
    <phoneticPr fontId="5" type="noConversion"/>
  </si>
  <si>
    <t>成本驱动因子(后体系结构)</t>
    <phoneticPr fontId="5" type="noConversion"/>
  </si>
  <si>
    <t>早期设计</t>
    <phoneticPr fontId="5" type="noConversion"/>
  </si>
  <si>
    <t>后体系结构</t>
    <phoneticPr fontId="5" type="noConversion"/>
  </si>
  <si>
    <t>后体系结构</t>
    <phoneticPr fontId="5" type="noConversion"/>
  </si>
  <si>
    <t>前期设计</t>
    <phoneticPr fontId="5" type="noConversion"/>
  </si>
  <si>
    <t>成本计算器</t>
    <phoneticPr fontId="5" type="noConversion"/>
  </si>
  <si>
    <t>公式</t>
    <phoneticPr fontId="5" type="noConversion"/>
  </si>
  <si>
    <t>Scale Factors</t>
    <phoneticPr fontId="5" type="noConversion"/>
  </si>
  <si>
    <t>工作量系数——早期设计</t>
    <phoneticPr fontId="5" type="noConversion"/>
  </si>
  <si>
    <t>工作量</t>
    <phoneticPr fontId="5" type="noConversion"/>
  </si>
  <si>
    <t>项目编号</t>
    <phoneticPr fontId="21" type="noConversion"/>
  </si>
  <si>
    <t>项目信息</t>
    <phoneticPr fontId="21" type="noConversion"/>
  </si>
  <si>
    <t>客户名称</t>
    <phoneticPr fontId="21" type="noConversion"/>
  </si>
  <si>
    <t>项目名称</t>
    <phoneticPr fontId="21" type="noConversion"/>
  </si>
  <si>
    <t>统计人</t>
    <phoneticPr fontId="21" type="noConversion"/>
  </si>
  <si>
    <t>日期</t>
    <phoneticPr fontId="21" type="noConversion"/>
  </si>
  <si>
    <t>PM2=</t>
    <phoneticPr fontId="5" type="noConversion"/>
  </si>
  <si>
    <t>Effort Multiplier EM——后体系结构</t>
    <phoneticPr fontId="5" type="noConversion"/>
  </si>
  <si>
    <t>Effort Multiplier EM——早期设计</t>
    <phoneticPr fontId="5" type="noConversion"/>
  </si>
  <si>
    <t>2.决定使用前期设计模型还是后体系结构模型</t>
    <phoneticPr fontId="5" type="noConversion"/>
  </si>
  <si>
    <t>3.填写比例因子(Scale Factor)</t>
    <phoneticPr fontId="5" type="noConversion"/>
  </si>
  <si>
    <t>4.填写工作量乘数(Effort Multiplier )</t>
    <phoneticPr fontId="5" type="noConversion"/>
  </si>
  <si>
    <t>5.选择项目语言</t>
    <phoneticPr fontId="5" type="noConversion"/>
  </si>
  <si>
    <t>6.填写项目规模S(功能点数)</t>
    <phoneticPr fontId="5" type="noConversion"/>
  </si>
  <si>
    <t>1.填写项目相关信息</t>
    <phoneticPr fontId="5" type="noConversion"/>
  </si>
  <si>
    <t>Copyright© 2015 李灯举Kevin Lee.All rights reserved</t>
    <phoneticPr fontId="5" type="noConversion"/>
  </si>
  <si>
    <t>使用说明</t>
    <phoneticPr fontId="5" type="noConversion"/>
  </si>
  <si>
    <t>7.计算得到结果</t>
    <phoneticPr fontId="5" type="noConversion"/>
  </si>
  <si>
    <t>人月成本</t>
    <phoneticPr fontId="5" type="noConversion"/>
  </si>
  <si>
    <t>成本/人月</t>
    <phoneticPr fontId="5" type="noConversion"/>
  </si>
  <si>
    <t>Cost=</t>
    <phoneticPr fontId="5" type="noConversion"/>
  </si>
  <si>
    <t>项目成本</t>
    <phoneticPr fontId="5" type="noConversion"/>
  </si>
  <si>
    <t>Cost2=</t>
    <phoneticPr fontId="5" type="noConversion"/>
  </si>
  <si>
    <t>代码行功能点转换</t>
    <phoneticPr fontId="5" type="noConversion"/>
  </si>
  <si>
    <t>Normal</t>
    <phoneticPr fontId="5" type="noConversion"/>
  </si>
  <si>
    <t>Normal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</si>
</sst>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0"/>
      <name val="TIMES"/>
      <family val="1"/>
    </font>
    <font>
      <sz val="7.5"/>
      <name val="ZapfDingbats"/>
      <family val="2"/>
    </font>
    <font>
      <i/>
      <u/>
      <sz val="10"/>
      <name val="Arial"/>
      <family val="2"/>
    </font>
    <font>
      <sz val="9"/>
      <color indexed="81"/>
      <name val="宋体"/>
      <family val="3"/>
      <charset val="134"/>
    </font>
    <font>
      <sz val="14"/>
      <color theme="1"/>
      <name val="微软雅黑"/>
      <family val="2"/>
      <charset val="134"/>
    </font>
    <font>
      <sz val="11"/>
      <color rgb="FF0061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9C6500"/>
      <name val="微软雅黑"/>
      <family val="2"/>
      <charset val="134"/>
    </font>
    <font>
      <sz val="9"/>
      <name val="宋体"/>
      <family val="3"/>
      <charset val="134"/>
    </font>
    <font>
      <sz val="11"/>
      <color rgb="FF000000"/>
      <name val="微软雅黑"/>
      <family val="2"/>
      <charset val="134"/>
    </font>
    <font>
      <b/>
      <i/>
      <sz val="12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CD5B4"/>
        <bgColor rgb="FFFFFFFF"/>
      </patternFill>
    </fill>
    <fill>
      <patternFill patternType="solid">
        <fgColor rgb="FFFDE9D9"/>
        <bgColor rgb="FFFFFFFF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0" fillId="12" borderId="9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</cellStyleXfs>
  <cellXfs count="81">
    <xf numFmtId="0" fontId="0" fillId="0" borderId="0" xfId="0"/>
    <xf numFmtId="0" fontId="4" fillId="8" borderId="1" xfId="0" applyFont="1" applyFill="1" applyBorder="1" applyAlignment="1">
      <alignment vertical="top"/>
    </xf>
    <xf numFmtId="0" fontId="4" fillId="8" borderId="1" xfId="0" applyFont="1" applyFill="1" applyBorder="1"/>
    <xf numFmtId="0" fontId="0" fillId="0" borderId="1" xfId="0" applyFill="1" applyBorder="1"/>
    <xf numFmtId="2" fontId="8" fillId="0" borderId="1" xfId="7" applyNumberFormat="1" applyFont="1" applyFill="1" applyBorder="1" applyAlignment="1" applyProtection="1"/>
    <xf numFmtId="2" fontId="8" fillId="0" borderId="1" xfId="0" applyNumberFormat="1" applyFont="1" applyBorder="1"/>
    <xf numFmtId="0" fontId="0" fillId="0" borderId="1" xfId="0" applyBorder="1"/>
    <xf numFmtId="0" fontId="0" fillId="9" borderId="1" xfId="0" applyFill="1" applyBorder="1"/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0" xfId="0" applyFont="1"/>
    <xf numFmtId="0" fontId="0" fillId="0" borderId="0" xfId="0" applyBorder="1"/>
    <xf numFmtId="0" fontId="19" fillId="12" borderId="18" xfId="10" applyFont="1" applyBorder="1" applyAlignment="1">
      <alignment horizontal="center" vertical="center"/>
    </xf>
    <xf numFmtId="0" fontId="19" fillId="7" borderId="2" xfId="6" applyFont="1" applyBorder="1" applyAlignment="1"/>
    <xf numFmtId="0" fontId="19" fillId="12" borderId="14" xfId="10" applyFont="1" applyBorder="1" applyAlignment="1">
      <alignment horizontal="center" vertical="center"/>
    </xf>
    <xf numFmtId="0" fontId="19" fillId="7" borderId="1" xfId="6" applyFont="1" applyBorder="1" applyAlignment="1"/>
    <xf numFmtId="0" fontId="22" fillId="15" borderId="1" xfId="11" applyFont="1" applyFill="1" applyBorder="1" applyAlignment="1"/>
    <xf numFmtId="0" fontId="22" fillId="14" borderId="6" xfId="6" applyFont="1" applyFill="1" applyBorder="1" applyAlignment="1"/>
    <xf numFmtId="0" fontId="22" fillId="14" borderId="7" xfId="6" applyFont="1" applyFill="1" applyBorder="1" applyAlignment="1"/>
    <xf numFmtId="0" fontId="22" fillId="14" borderId="8" xfId="6" applyFont="1" applyFill="1" applyBorder="1" applyAlignment="1"/>
    <xf numFmtId="0" fontId="19" fillId="0" borderId="0" xfId="0" applyFont="1"/>
    <xf numFmtId="0" fontId="19" fillId="7" borderId="1" xfId="6" applyFont="1" applyBorder="1" applyAlignment="1">
      <alignment horizontal="center"/>
    </xf>
    <xf numFmtId="0" fontId="19" fillId="13" borderId="1" xfId="11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9" fillId="3" borderId="1" xfId="2" applyFont="1" applyBorder="1" applyAlignment="1">
      <alignment horizontal="center"/>
    </xf>
    <xf numFmtId="0" fontId="19" fillId="13" borderId="2" xfId="11" applyFont="1" applyBorder="1" applyAlignment="1">
      <alignment horizontal="center"/>
    </xf>
    <xf numFmtId="0" fontId="19" fillId="13" borderId="2" xfId="11" applyFont="1" applyBorder="1" applyAlignment="1"/>
    <xf numFmtId="0" fontId="19" fillId="4" borderId="1" xfId="3" applyFont="1" applyBorder="1" applyAlignment="1" applyProtection="1">
      <alignment horizontal="center"/>
      <protection locked="0"/>
    </xf>
    <xf numFmtId="0" fontId="19" fillId="3" borderId="1" xfId="2" applyFont="1" applyBorder="1" applyAlignment="1">
      <alignment horizontal="center" vertical="center"/>
    </xf>
    <xf numFmtId="0" fontId="19" fillId="13" borderId="3" xfId="11" applyFont="1" applyBorder="1" applyAlignment="1">
      <alignment horizontal="center"/>
    </xf>
    <xf numFmtId="0" fontId="19" fillId="13" borderId="4" xfId="11" applyFont="1" applyBorder="1" applyAlignment="1"/>
    <xf numFmtId="0" fontId="19" fillId="3" borderId="3" xfId="2" applyFont="1" applyBorder="1" applyAlignment="1">
      <alignment horizontal="center"/>
    </xf>
    <xf numFmtId="0" fontId="19" fillId="3" borderId="4" xfId="2" applyFont="1" applyBorder="1" applyAlignment="1">
      <alignment horizontal="center" vertical="center"/>
    </xf>
    <xf numFmtId="0" fontId="19" fillId="3" borderId="6" xfId="2" applyFont="1" applyBorder="1" applyAlignment="1">
      <alignment horizont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/>
    </xf>
    <xf numFmtId="0" fontId="25" fillId="8" borderId="1" xfId="0" applyFont="1" applyFill="1" applyBorder="1" applyAlignment="1">
      <alignment horizontal="left" vertical="center" wrapText="1"/>
    </xf>
    <xf numFmtId="0" fontId="19" fillId="2" borderId="1" xfId="1" applyFont="1" applyBorder="1" applyAlignment="1" applyProtection="1">
      <alignment horizontal="center" vertical="center"/>
      <protection locked="0"/>
    </xf>
    <xf numFmtId="0" fontId="19" fillId="5" borderId="1" xfId="4" applyFont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3" fillId="4" borderId="1" xfId="3" applyBorder="1" applyAlignment="1" applyProtection="1">
      <alignment horizontal="center"/>
      <protection locked="0"/>
    </xf>
    <xf numFmtId="0" fontId="19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7" fillId="6" borderId="15" xfId="5" applyFont="1" applyBorder="1" applyAlignment="1">
      <alignment horizontal="center" vertical="center"/>
    </xf>
    <xf numFmtId="0" fontId="17" fillId="6" borderId="16" xfId="5" applyFont="1" applyBorder="1" applyAlignment="1">
      <alignment horizontal="center" vertical="center"/>
    </xf>
    <xf numFmtId="0" fontId="17" fillId="6" borderId="17" xfId="5" applyFont="1" applyBorder="1" applyAlignment="1">
      <alignment horizontal="center" vertical="center"/>
    </xf>
    <xf numFmtId="0" fontId="17" fillId="6" borderId="20" xfId="5" applyFont="1" applyBorder="1" applyAlignment="1">
      <alignment horizontal="center" vertical="center"/>
    </xf>
    <xf numFmtId="0" fontId="17" fillId="6" borderId="10" xfId="5" applyFont="1" applyBorder="1" applyAlignment="1">
      <alignment horizontal="center" vertical="center"/>
    </xf>
    <xf numFmtId="0" fontId="17" fillId="6" borderId="21" xfId="5" applyFont="1" applyBorder="1" applyAlignment="1">
      <alignment horizontal="center" vertical="center"/>
    </xf>
    <xf numFmtId="0" fontId="18" fillId="10" borderId="1" xfId="8" applyFont="1" applyBorder="1" applyAlignment="1">
      <alignment horizontal="center" vertical="center"/>
    </xf>
    <xf numFmtId="0" fontId="20" fillId="11" borderId="1" xfId="9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9" fillId="0" borderId="19" xfId="0" applyFont="1" applyBorder="1" applyAlignment="1">
      <alignment horizontal="left" vertical="center"/>
    </xf>
    <xf numFmtId="0" fontId="19" fillId="0" borderId="1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0" fontId="2" fillId="6" borderId="0" xfId="5" applyFont="1" applyAlignment="1">
      <alignment horizontal="center"/>
    </xf>
    <xf numFmtId="0" fontId="3" fillId="6" borderId="0" xfId="5" applyAlignment="1">
      <alignment horizontal="center"/>
    </xf>
    <xf numFmtId="0" fontId="18" fillId="10" borderId="0" xfId="8" applyFont="1" applyBorder="1" applyAlignment="1">
      <alignment horizontal="center" vertical="center"/>
    </xf>
    <xf numFmtId="0" fontId="18" fillId="10" borderId="5" xfId="8" applyFont="1" applyBorder="1" applyAlignment="1">
      <alignment horizontal="center"/>
    </xf>
    <xf numFmtId="0" fontId="18" fillId="10" borderId="0" xfId="8" applyFont="1" applyBorder="1" applyAlignment="1">
      <alignment horizontal="center"/>
    </xf>
    <xf numFmtId="0" fontId="22" fillId="15" borderId="19" xfId="11" applyFont="1" applyFill="1" applyBorder="1" applyAlignment="1" applyProtection="1">
      <alignment horizontal="center"/>
      <protection locked="0"/>
    </xf>
    <xf numFmtId="0" fontId="22" fillId="15" borderId="12" xfId="11" applyFont="1" applyFill="1" applyBorder="1" applyAlignment="1" applyProtection="1">
      <alignment horizontal="center"/>
      <protection locked="0"/>
    </xf>
    <xf numFmtId="0" fontId="22" fillId="15" borderId="6" xfId="11" applyNumberFormat="1" applyFont="1" applyFill="1" applyBorder="1" applyAlignment="1" applyProtection="1">
      <alignment horizontal="center"/>
      <protection locked="0"/>
    </xf>
    <xf numFmtId="0" fontId="22" fillId="15" borderId="8" xfId="11" applyNumberFormat="1" applyFont="1" applyFill="1" applyBorder="1" applyAlignment="1" applyProtection="1">
      <alignment horizontal="center"/>
      <protection locked="0"/>
    </xf>
    <xf numFmtId="0" fontId="23" fillId="0" borderId="5" xfId="0" applyFont="1" applyBorder="1" applyAlignment="1">
      <alignment horizontal="center"/>
    </xf>
    <xf numFmtId="0" fontId="19" fillId="7" borderId="9" xfId="6" applyFont="1" applyBorder="1" applyAlignment="1">
      <alignment horizontal="center" vertical="center"/>
    </xf>
    <xf numFmtId="0" fontId="19" fillId="7" borderId="0" xfId="6" applyFont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25" fillId="8" borderId="11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8" xfId="0" applyFont="1" applyFill="1" applyBorder="1" applyAlignment="1">
      <alignment horizontal="center" vertical="center"/>
    </xf>
    <xf numFmtId="0" fontId="25" fillId="8" borderId="12" xfId="0" applyFont="1" applyFill="1" applyBorder="1" applyAlignment="1">
      <alignment horizontal="center" vertical="center"/>
    </xf>
    <xf numFmtId="0" fontId="25" fillId="8" borderId="13" xfId="0" applyFont="1" applyFill="1" applyBorder="1" applyAlignment="1">
      <alignment horizontal="center" vertical="center"/>
    </xf>
  </cellXfs>
  <cellStyles count="12">
    <cellStyle name="20% - 着色 1" xfId="1" builtinId="30"/>
    <cellStyle name="20% - 着色 4" xfId="4" builtinId="42"/>
    <cellStyle name="20% - 着色 6" xfId="11" builtinId="50"/>
    <cellStyle name="40% - 着色 1" xfId="2" builtinId="31"/>
    <cellStyle name="40% - 着色 2" xfId="3" builtinId="35"/>
    <cellStyle name="40% - 着色 5" xfId="5" builtinId="47"/>
    <cellStyle name="40% - 着色 6" xfId="6" builtinId="51"/>
    <cellStyle name="常规" xfId="0" builtinId="0"/>
    <cellStyle name="超链接" xfId="7" builtinId="8"/>
    <cellStyle name="好" xfId="8" builtinId="26"/>
    <cellStyle name="适中" xfId="9" builtinId="28"/>
    <cellStyle name="注释" xfId="10" builtinId="10"/>
  </cellStyles>
  <dxfs count="0"/>
  <tableStyles count="0" defaultTableStyle="TableStyleMedium2" defaultPivotStyle="PivotStyleLight16"/>
  <colors>
    <mruColors>
      <color rgb="FF47B8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unction%20Points%20Estimator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7</xdr:row>
      <xdr:rowOff>42862</xdr:rowOff>
    </xdr:from>
    <xdr:ext cx="1483483" cy="474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/>
            <xdr:cNvSpPr txBox="1"/>
          </xdr:nvSpPr>
          <xdr:spPr>
            <a:xfrm>
              <a:off x="1057275" y="595312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𝑃𝑀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sup>
                    </m:sSup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nary>
                      <m:naryPr>
                        <m:chr m:val="∏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7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𝐸𝑀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/>
            <xdr:cNvSpPr txBox="1"/>
          </xdr:nvSpPr>
          <xdr:spPr>
            <a:xfrm>
              <a:off x="1057275" y="595312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𝑃𝑀=𝐴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×𝑆^𝐸×∏24_(𝑖=1)^7▒〖𝐸𝑀〗_𝑖 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7</xdr:row>
      <xdr:rowOff>52387</xdr:rowOff>
    </xdr:from>
    <xdr:ext cx="1401859" cy="497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本框 3"/>
            <xdr:cNvSpPr txBox="1"/>
          </xdr:nvSpPr>
          <xdr:spPr>
            <a:xfrm>
              <a:off x="2590800" y="604837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𝐵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+0.01×</m:t>
                    </m:r>
                    <m:nary>
                      <m:naryPr>
                        <m:chr m:val="∑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𝑆𝐹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4" name="文本框 3"/>
            <xdr:cNvSpPr txBox="1"/>
          </xdr:nvSpPr>
          <xdr:spPr>
            <a:xfrm>
              <a:off x="2590800" y="604837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𝐸=𝐵+0.01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×∑24_(𝑗=1)^5▒〖𝑆𝐹〗_𝑖 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2</xdr:col>
      <xdr:colOff>9525</xdr:colOff>
      <xdr:row>8</xdr:row>
      <xdr:rowOff>42862</xdr:rowOff>
    </xdr:from>
    <xdr:ext cx="1401859" cy="497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文本框 4"/>
            <xdr:cNvSpPr txBox="1"/>
          </xdr:nvSpPr>
          <xdr:spPr>
            <a:xfrm>
              <a:off x="2581275" y="1185862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𝐵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+0.01×</m:t>
                    </m:r>
                    <m:nary>
                      <m:naryPr>
                        <m:chr m:val="∑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𝑆𝐹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5" name="文本框 4"/>
            <xdr:cNvSpPr txBox="1"/>
          </xdr:nvSpPr>
          <xdr:spPr>
            <a:xfrm>
              <a:off x="2581275" y="1185862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𝐸=𝐵+0.01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×∑24_(𝑗=1)^5▒〖𝑆𝐹〗_𝑖 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1</xdr:col>
      <xdr:colOff>19050</xdr:colOff>
      <xdr:row>8</xdr:row>
      <xdr:rowOff>52387</xdr:rowOff>
    </xdr:from>
    <xdr:ext cx="1483483" cy="474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文本框 5"/>
            <xdr:cNvSpPr txBox="1"/>
          </xdr:nvSpPr>
          <xdr:spPr>
            <a:xfrm>
              <a:off x="1057275" y="1195387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𝑃𝑀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sup>
                    </m:sSup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nary>
                      <m:naryPr>
                        <m:chr m:val="∏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17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𝐸𝑀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6" name="文本框 5"/>
            <xdr:cNvSpPr txBox="1"/>
          </xdr:nvSpPr>
          <xdr:spPr>
            <a:xfrm>
              <a:off x="1057275" y="1195387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𝑃𝑀=𝐴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×𝑆^𝐸×∏24_(𝑖=1)^17▒〖𝐸𝑀〗_𝑖 </a:t>
              </a:r>
              <a:endParaRPr lang="zh-CN" altLang="en-US" sz="1100"/>
            </a:p>
          </xdr:txBody>
        </xdr:sp>
      </mc:Fallback>
    </mc:AlternateContent>
    <xdr:clientData/>
  </xdr:oneCellAnchor>
  <xdr:twoCellAnchor>
    <xdr:from>
      <xdr:col>0</xdr:col>
      <xdr:colOff>285749</xdr:colOff>
      <xdr:row>13</xdr:row>
      <xdr:rowOff>85725</xdr:rowOff>
    </xdr:from>
    <xdr:to>
      <xdr:col>0</xdr:col>
      <xdr:colOff>847724</xdr:colOff>
      <xdr:row>14</xdr:row>
      <xdr:rowOff>95250</xdr:rowOff>
    </xdr:to>
    <xdr:sp macro="" textlink="">
      <xdr:nvSpPr>
        <xdr:cNvPr id="19" name="圆角矩形 18"/>
        <xdr:cNvSpPr/>
      </xdr:nvSpPr>
      <xdr:spPr>
        <a:xfrm>
          <a:off x="285749" y="2628900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15</xdr:row>
      <xdr:rowOff>95250</xdr:rowOff>
    </xdr:from>
    <xdr:to>
      <xdr:col>0</xdr:col>
      <xdr:colOff>847724</xdr:colOff>
      <xdr:row>16</xdr:row>
      <xdr:rowOff>104775</xdr:rowOff>
    </xdr:to>
    <xdr:sp macro="[0]!ToSF" textlink="">
      <xdr:nvSpPr>
        <xdr:cNvPr id="21" name="圆角矩形 20"/>
        <xdr:cNvSpPr/>
      </xdr:nvSpPr>
      <xdr:spPr>
        <a:xfrm>
          <a:off x="285749" y="300037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17</xdr:row>
      <xdr:rowOff>209550</xdr:rowOff>
    </xdr:from>
    <xdr:to>
      <xdr:col>0</xdr:col>
      <xdr:colOff>847724</xdr:colOff>
      <xdr:row>18</xdr:row>
      <xdr:rowOff>123825</xdr:rowOff>
    </xdr:to>
    <xdr:sp macro="" textlink="">
      <xdr:nvSpPr>
        <xdr:cNvPr id="22" name="圆角矩形 21"/>
        <xdr:cNvSpPr/>
      </xdr:nvSpPr>
      <xdr:spPr>
        <a:xfrm>
          <a:off x="285749" y="347662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19</xdr:row>
      <xdr:rowOff>95250</xdr:rowOff>
    </xdr:from>
    <xdr:to>
      <xdr:col>0</xdr:col>
      <xdr:colOff>847724</xdr:colOff>
      <xdr:row>20</xdr:row>
      <xdr:rowOff>104775</xdr:rowOff>
    </xdr:to>
    <xdr:sp macro="[0]!ToLanguage" textlink="">
      <xdr:nvSpPr>
        <xdr:cNvPr id="24" name="圆角矩形 23"/>
        <xdr:cNvSpPr/>
      </xdr:nvSpPr>
      <xdr:spPr>
        <a:xfrm>
          <a:off x="285749" y="336232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</xdr:col>
      <xdr:colOff>342900</xdr:colOff>
      <xdr:row>17</xdr:row>
      <xdr:rowOff>266700</xdr:rowOff>
    </xdr:from>
    <xdr:to>
      <xdr:col>1</xdr:col>
      <xdr:colOff>1428750</xdr:colOff>
      <xdr:row>18</xdr:row>
      <xdr:rowOff>228600</xdr:rowOff>
    </xdr:to>
    <xdr:sp macro="[0]!ToEM1" textlink="">
      <xdr:nvSpPr>
        <xdr:cNvPr id="20" name="圆角矩形 19"/>
        <xdr:cNvSpPr/>
      </xdr:nvSpPr>
      <xdr:spPr>
        <a:xfrm>
          <a:off x="1381125" y="3533775"/>
          <a:ext cx="1085850" cy="2381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前期设计模型</a:t>
          </a:r>
        </a:p>
      </xdr:txBody>
    </xdr:sp>
    <xdr:clientData/>
  </xdr:twoCellAnchor>
  <xdr:twoCellAnchor>
    <xdr:from>
      <xdr:col>2</xdr:col>
      <xdr:colOff>352425</xdr:colOff>
      <xdr:row>17</xdr:row>
      <xdr:rowOff>266700</xdr:rowOff>
    </xdr:from>
    <xdr:to>
      <xdr:col>2</xdr:col>
      <xdr:colOff>1590675</xdr:colOff>
      <xdr:row>18</xdr:row>
      <xdr:rowOff>228600</xdr:rowOff>
    </xdr:to>
    <xdr:sp macro="[0]!ToEM2" textlink="">
      <xdr:nvSpPr>
        <xdr:cNvPr id="26" name="圆角矩形 25"/>
        <xdr:cNvSpPr/>
      </xdr:nvSpPr>
      <xdr:spPr>
        <a:xfrm>
          <a:off x="2924175" y="3533775"/>
          <a:ext cx="1238250" cy="2381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后体系结构模型</a:t>
          </a:r>
        </a:p>
      </xdr:txBody>
    </xdr:sp>
    <xdr:clientData/>
  </xdr:twoCellAnchor>
  <xdr:twoCellAnchor>
    <xdr:from>
      <xdr:col>2</xdr:col>
      <xdr:colOff>352425</xdr:colOff>
      <xdr:row>21</xdr:row>
      <xdr:rowOff>66675</xdr:rowOff>
    </xdr:from>
    <xdr:to>
      <xdr:col>2</xdr:col>
      <xdr:colOff>1590675</xdr:colOff>
      <xdr:row>22</xdr:row>
      <xdr:rowOff>123825</xdr:rowOff>
    </xdr:to>
    <xdr:sp macro="[0]!ToEM2" textlink="">
      <xdr:nvSpPr>
        <xdr:cNvPr id="28" name="圆角矩形 27">
          <a:hlinkClick xmlns:r="http://schemas.openxmlformats.org/officeDocument/2006/relationships" r:id="rId1"/>
        </xdr:cNvPr>
        <xdr:cNvSpPr/>
      </xdr:nvSpPr>
      <xdr:spPr>
        <a:xfrm>
          <a:off x="2924175" y="3924300"/>
          <a:ext cx="1238250" cy="2381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功能点估算</a:t>
          </a:r>
        </a:p>
      </xdr:txBody>
    </xdr:sp>
    <xdr:clientData/>
  </xdr:twoCellAnchor>
  <xdr:twoCellAnchor>
    <xdr:from>
      <xdr:col>0</xdr:col>
      <xdr:colOff>285749</xdr:colOff>
      <xdr:row>21</xdr:row>
      <xdr:rowOff>95250</xdr:rowOff>
    </xdr:from>
    <xdr:to>
      <xdr:col>0</xdr:col>
      <xdr:colOff>847724</xdr:colOff>
      <xdr:row>22</xdr:row>
      <xdr:rowOff>104775</xdr:rowOff>
    </xdr:to>
    <xdr:sp macro="[0]!ToFP" textlink="">
      <xdr:nvSpPr>
        <xdr:cNvPr id="29" name="圆角矩形 28"/>
        <xdr:cNvSpPr/>
      </xdr:nvSpPr>
      <xdr:spPr>
        <a:xfrm>
          <a:off x="285749" y="395287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11</xdr:row>
      <xdr:rowOff>104775</xdr:rowOff>
    </xdr:from>
    <xdr:to>
      <xdr:col>0</xdr:col>
      <xdr:colOff>847724</xdr:colOff>
      <xdr:row>12</xdr:row>
      <xdr:rowOff>114300</xdr:rowOff>
    </xdr:to>
    <xdr:sp macro="[0]!ToCal" textlink="">
      <xdr:nvSpPr>
        <xdr:cNvPr id="14" name="圆角矩形 13"/>
        <xdr:cNvSpPr/>
      </xdr:nvSpPr>
      <xdr:spPr>
        <a:xfrm>
          <a:off x="285749" y="267652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</xdr:col>
      <xdr:colOff>533400</xdr:colOff>
      <xdr:row>5</xdr:row>
      <xdr:rowOff>19050</xdr:rowOff>
    </xdr:from>
    <xdr:to>
      <xdr:col>2</xdr:col>
      <xdr:colOff>247650</xdr:colOff>
      <xdr:row>5</xdr:row>
      <xdr:rowOff>266700</xdr:rowOff>
    </xdr:to>
    <xdr:sp macro="" textlink="">
      <xdr:nvSpPr>
        <xdr:cNvPr id="15" name="圆角矩形 14"/>
        <xdr:cNvSpPr/>
      </xdr:nvSpPr>
      <xdr:spPr>
        <a:xfrm>
          <a:off x="1571625" y="800100"/>
          <a:ext cx="1247775" cy="2476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介绍</a:t>
          </a:r>
        </a:p>
      </xdr:txBody>
    </xdr:sp>
    <xdr:clientData/>
  </xdr:twoCellAnchor>
  <xdr:twoCellAnchor>
    <xdr:from>
      <xdr:col>0</xdr:col>
      <xdr:colOff>285749</xdr:colOff>
      <xdr:row>23</xdr:row>
      <xdr:rowOff>95250</xdr:rowOff>
    </xdr:from>
    <xdr:to>
      <xdr:col>0</xdr:col>
      <xdr:colOff>847724</xdr:colOff>
      <xdr:row>24</xdr:row>
      <xdr:rowOff>104775</xdr:rowOff>
    </xdr:to>
    <xdr:sp macro="[0]!ToResult" textlink="">
      <xdr:nvSpPr>
        <xdr:cNvPr id="18" name="圆角矩形 17"/>
        <xdr:cNvSpPr/>
      </xdr:nvSpPr>
      <xdr:spPr>
        <a:xfrm>
          <a:off x="285749" y="4991100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1562100</xdr:colOff>
      <xdr:row>21</xdr:row>
      <xdr:rowOff>104775</xdr:rowOff>
    </xdr:from>
    <xdr:to>
      <xdr:col>4</xdr:col>
      <xdr:colOff>276225</xdr:colOff>
      <xdr:row>22</xdr:row>
      <xdr:rowOff>133350</xdr:rowOff>
    </xdr:to>
    <xdr:sp macro="[0]!Back" textlink="">
      <xdr:nvSpPr>
        <xdr:cNvPr id="2" name="圆角矩形 1"/>
        <xdr:cNvSpPr/>
      </xdr:nvSpPr>
      <xdr:spPr>
        <a:xfrm>
          <a:off x="3486150" y="4476750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9</xdr:row>
      <xdr:rowOff>85725</xdr:rowOff>
    </xdr:from>
    <xdr:to>
      <xdr:col>1</xdr:col>
      <xdr:colOff>1543050</xdr:colOff>
      <xdr:row>10</xdr:row>
      <xdr:rowOff>114300</xdr:rowOff>
    </xdr:to>
    <xdr:sp macro="[0]!Back" textlink="">
      <xdr:nvSpPr>
        <xdr:cNvPr id="2" name="圆角矩形 1"/>
        <xdr:cNvSpPr/>
      </xdr:nvSpPr>
      <xdr:spPr>
        <a:xfrm>
          <a:off x="1333500" y="1724025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11</xdr:row>
      <xdr:rowOff>95250</xdr:rowOff>
    </xdr:from>
    <xdr:to>
      <xdr:col>1</xdr:col>
      <xdr:colOff>1495425</xdr:colOff>
      <xdr:row>12</xdr:row>
      <xdr:rowOff>123825</xdr:rowOff>
    </xdr:to>
    <xdr:sp macro="[0]!Back" textlink="">
      <xdr:nvSpPr>
        <xdr:cNvPr id="2" name="圆角矩形 1"/>
        <xdr:cNvSpPr/>
      </xdr:nvSpPr>
      <xdr:spPr>
        <a:xfrm>
          <a:off x="1285875" y="2095500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21</xdr:row>
      <xdr:rowOff>85725</xdr:rowOff>
    </xdr:from>
    <xdr:to>
      <xdr:col>2</xdr:col>
      <xdr:colOff>1266825</xdr:colOff>
      <xdr:row>22</xdr:row>
      <xdr:rowOff>114300</xdr:rowOff>
    </xdr:to>
    <xdr:sp macro="[0]!Back" textlink="">
      <xdr:nvSpPr>
        <xdr:cNvPr id="3" name="圆角矩形 2"/>
        <xdr:cNvSpPr/>
      </xdr:nvSpPr>
      <xdr:spPr>
        <a:xfrm>
          <a:off x="1714500" y="3895725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5"/>
  <sheetViews>
    <sheetView showGridLines="0" tabSelected="1" workbookViewId="0">
      <selection sqref="A1:C2"/>
    </sheetView>
  </sheetViews>
  <sheetFormatPr defaultRowHeight="14.25"/>
  <cols>
    <col min="1" max="1" width="13.625" customWidth="1"/>
    <col min="2" max="2" width="20.125" customWidth="1"/>
    <col min="3" max="3" width="25.375" customWidth="1"/>
  </cols>
  <sheetData>
    <row r="1" spans="1:3">
      <c r="A1" s="43" t="s">
        <v>20</v>
      </c>
      <c r="B1" s="44"/>
      <c r="C1" s="45"/>
    </row>
    <row r="2" spans="1:3">
      <c r="A2" s="46"/>
      <c r="B2" s="47"/>
      <c r="C2" s="48"/>
    </row>
    <row r="3" spans="1:3" ht="11.25" customHeight="1">
      <c r="A3" s="57" t="s">
        <v>142</v>
      </c>
      <c r="B3" s="57"/>
      <c r="C3" s="57"/>
    </row>
    <row r="4" spans="1:3" ht="10.5" customHeight="1">
      <c r="A4" s="57"/>
      <c r="B4" s="57"/>
      <c r="C4" s="57"/>
    </row>
    <row r="5" spans="1:3" ht="11.25" customHeight="1">
      <c r="A5" s="57"/>
      <c r="B5" s="57"/>
      <c r="C5" s="57"/>
    </row>
    <row r="6" spans="1:3" ht="23.25" customHeight="1">
      <c r="A6" s="58"/>
      <c r="B6" s="59"/>
      <c r="C6" s="60"/>
    </row>
    <row r="7" spans="1:3" ht="21" customHeight="1">
      <c r="A7" s="49" t="s">
        <v>123</v>
      </c>
      <c r="B7" s="49"/>
      <c r="C7" s="49"/>
    </row>
    <row r="8" spans="1:3" ht="44.25" customHeight="1">
      <c r="A8" s="12" t="s">
        <v>118</v>
      </c>
      <c r="B8" s="13"/>
      <c r="C8" s="13"/>
    </row>
    <row r="9" spans="1:3" ht="44.25" customHeight="1">
      <c r="A9" s="14" t="s">
        <v>119</v>
      </c>
      <c r="B9" s="15"/>
      <c r="C9" s="15"/>
    </row>
    <row r="11" spans="1:3" ht="16.5">
      <c r="A11" s="50" t="s">
        <v>143</v>
      </c>
      <c r="B11" s="50"/>
      <c r="C11" s="50"/>
    </row>
    <row r="12" spans="1:3">
      <c r="A12" s="51"/>
      <c r="B12" s="53" t="s">
        <v>141</v>
      </c>
      <c r="C12" s="54"/>
    </row>
    <row r="13" spans="1:3">
      <c r="A13" s="52"/>
      <c r="B13" s="55"/>
      <c r="C13" s="56"/>
    </row>
    <row r="14" spans="1:3">
      <c r="A14" s="42"/>
      <c r="B14" s="41" t="s">
        <v>136</v>
      </c>
      <c r="C14" s="41"/>
    </row>
    <row r="15" spans="1:3">
      <c r="A15" s="42"/>
      <c r="B15" s="41"/>
      <c r="C15" s="41"/>
    </row>
    <row r="16" spans="1:3">
      <c r="A16" s="42"/>
      <c r="B16" s="41" t="s">
        <v>137</v>
      </c>
      <c r="C16" s="41"/>
    </row>
    <row r="17" spans="1:3">
      <c r="A17" s="42"/>
      <c r="B17" s="41"/>
      <c r="C17" s="41"/>
    </row>
    <row r="18" spans="1:3" ht="21.75" customHeight="1">
      <c r="A18" s="42"/>
      <c r="B18" s="61" t="s">
        <v>138</v>
      </c>
      <c r="C18" s="61"/>
    </row>
    <row r="19" spans="1:3" ht="24.75" customHeight="1">
      <c r="A19" s="42"/>
      <c r="B19" s="61"/>
      <c r="C19" s="61"/>
    </row>
    <row r="20" spans="1:3">
      <c r="A20" s="42"/>
      <c r="B20" s="41" t="s">
        <v>139</v>
      </c>
      <c r="C20" s="41"/>
    </row>
    <row r="21" spans="1:3">
      <c r="A21" s="42"/>
      <c r="B21" s="41"/>
      <c r="C21" s="41"/>
    </row>
    <row r="22" spans="1:3">
      <c r="A22" s="42"/>
      <c r="B22" s="41" t="s">
        <v>140</v>
      </c>
      <c r="C22" s="41"/>
    </row>
    <row r="23" spans="1:3">
      <c r="A23" s="42"/>
      <c r="B23" s="41"/>
      <c r="C23" s="41"/>
    </row>
    <row r="24" spans="1:3">
      <c r="A24" s="42"/>
      <c r="B24" s="41" t="s">
        <v>144</v>
      </c>
      <c r="C24" s="41"/>
    </row>
    <row r="25" spans="1:3">
      <c r="A25" s="42"/>
      <c r="B25" s="41"/>
      <c r="C25" s="41"/>
    </row>
  </sheetData>
  <sheetProtection sheet="1" objects="1" scenarios="1"/>
  <mergeCells count="19">
    <mergeCell ref="B24:C25"/>
    <mergeCell ref="A24:A25"/>
    <mergeCell ref="B22:C23"/>
    <mergeCell ref="A22:A23"/>
    <mergeCell ref="A18:A19"/>
    <mergeCell ref="B18:C19"/>
    <mergeCell ref="A20:A21"/>
    <mergeCell ref="B20:C21"/>
    <mergeCell ref="B14:C15"/>
    <mergeCell ref="A14:A15"/>
    <mergeCell ref="B16:C17"/>
    <mergeCell ref="A16:A17"/>
    <mergeCell ref="A1:C2"/>
    <mergeCell ref="A7:C7"/>
    <mergeCell ref="A11:C11"/>
    <mergeCell ref="A12:A13"/>
    <mergeCell ref="B12:C13"/>
    <mergeCell ref="A3:C5"/>
    <mergeCell ref="A6:C6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6"/>
  <sheetViews>
    <sheetView workbookViewId="0">
      <selection activeCell="A13" sqref="A13"/>
    </sheetView>
  </sheetViews>
  <sheetFormatPr defaultRowHeight="14.25"/>
  <cols>
    <col min="1" max="1" width="13.875" customWidth="1"/>
  </cols>
  <sheetData>
    <row r="1" spans="1:8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8">
      <c r="A2" s="3" t="s">
        <v>6</v>
      </c>
      <c r="B2" s="4">
        <v>6.2</v>
      </c>
      <c r="C2" s="5">
        <v>0</v>
      </c>
      <c r="D2" s="5">
        <v>5.48</v>
      </c>
      <c r="E2" s="5">
        <v>0</v>
      </c>
      <c r="F2" s="5">
        <v>7.8</v>
      </c>
    </row>
    <row r="3" spans="1:8">
      <c r="A3" s="6" t="s">
        <v>7</v>
      </c>
      <c r="B3" s="5">
        <v>4.96</v>
      </c>
      <c r="C3" s="5">
        <v>1.01</v>
      </c>
      <c r="D3" s="5">
        <v>4.38</v>
      </c>
      <c r="E3" s="5">
        <v>1.41</v>
      </c>
      <c r="F3" s="5">
        <v>6.24</v>
      </c>
    </row>
    <row r="4" spans="1:8">
      <c r="A4" s="6" t="s">
        <v>151</v>
      </c>
      <c r="B4" s="5">
        <v>3.72</v>
      </c>
      <c r="C4" s="5">
        <v>2.0299999999999998</v>
      </c>
      <c r="D4" s="5">
        <v>3.29</v>
      </c>
      <c r="E4" s="5">
        <v>2.83</v>
      </c>
      <c r="F4" s="5">
        <v>4.68</v>
      </c>
    </row>
    <row r="5" spans="1:8">
      <c r="A5" s="6" t="s">
        <v>9</v>
      </c>
      <c r="B5" s="5">
        <v>2.48</v>
      </c>
      <c r="C5" s="5">
        <v>3.04</v>
      </c>
      <c r="D5" s="5">
        <v>2.19</v>
      </c>
      <c r="E5" s="5">
        <v>4.24</v>
      </c>
      <c r="F5" s="5">
        <v>3.12</v>
      </c>
    </row>
    <row r="6" spans="1:8">
      <c r="A6" s="6" t="s">
        <v>10</v>
      </c>
      <c r="B6" s="5">
        <v>1.24</v>
      </c>
      <c r="C6" s="5">
        <v>4.05</v>
      </c>
      <c r="D6" s="5">
        <v>1.1000000000000001</v>
      </c>
      <c r="E6" s="5">
        <v>5.65</v>
      </c>
      <c r="F6" s="5">
        <v>1.56</v>
      </c>
    </row>
    <row r="7" spans="1:8">
      <c r="A7" s="6" t="s">
        <v>11</v>
      </c>
      <c r="B7" s="5">
        <v>0</v>
      </c>
      <c r="C7" s="5">
        <v>5.07</v>
      </c>
      <c r="D7" s="5">
        <v>0</v>
      </c>
      <c r="E7" s="5">
        <v>7.07</v>
      </c>
      <c r="F7" s="5">
        <v>0</v>
      </c>
    </row>
    <row r="9" spans="1:8">
      <c r="A9" s="1" t="s">
        <v>12</v>
      </c>
      <c r="B9" s="1" t="s">
        <v>13</v>
      </c>
      <c r="C9" s="1" t="s">
        <v>14</v>
      </c>
      <c r="D9" s="1" t="s">
        <v>15</v>
      </c>
      <c r="E9" s="1" t="s">
        <v>16</v>
      </c>
      <c r="F9" s="1" t="s">
        <v>17</v>
      </c>
      <c r="G9" s="1" t="s">
        <v>18</v>
      </c>
      <c r="H9" s="1" t="s">
        <v>19</v>
      </c>
    </row>
    <row r="10" spans="1:8">
      <c r="A10" s="3" t="s">
        <v>6</v>
      </c>
      <c r="B10" s="4">
        <v>0.6</v>
      </c>
      <c r="C10" s="4">
        <v>0.95</v>
      </c>
      <c r="D10" s="4">
        <v>0.87</v>
      </c>
      <c r="E10" s="4">
        <v>1.62</v>
      </c>
      <c r="F10" s="4">
        <v>1.33</v>
      </c>
      <c r="G10" s="4">
        <v>1.3</v>
      </c>
      <c r="H10" s="4">
        <v>1</v>
      </c>
    </row>
    <row r="11" spans="1:8">
      <c r="A11" s="6" t="s">
        <v>7</v>
      </c>
      <c r="B11" s="4">
        <v>0.83</v>
      </c>
      <c r="C11" s="4">
        <v>0.95</v>
      </c>
      <c r="D11" s="4">
        <v>0.87</v>
      </c>
      <c r="E11" s="4">
        <v>1.26</v>
      </c>
      <c r="F11" s="4">
        <v>1.22</v>
      </c>
      <c r="G11" s="4">
        <v>1.1000000000000001</v>
      </c>
      <c r="H11" s="4">
        <v>1</v>
      </c>
    </row>
    <row r="12" spans="1:8">
      <c r="A12" s="6" t="s">
        <v>152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</row>
    <row r="13" spans="1:8">
      <c r="A13" s="6" t="s">
        <v>9</v>
      </c>
      <c r="B13" s="4">
        <v>1.33</v>
      </c>
      <c r="C13" s="4">
        <v>1.07</v>
      </c>
      <c r="D13" s="4">
        <v>1.29</v>
      </c>
      <c r="E13" s="4">
        <v>0.83</v>
      </c>
      <c r="F13" s="4">
        <v>0.87</v>
      </c>
      <c r="G13" s="4">
        <v>0.87</v>
      </c>
      <c r="H13" s="4">
        <v>1.1399999999999999</v>
      </c>
    </row>
    <row r="14" spans="1:8">
      <c r="A14" s="6" t="s">
        <v>10</v>
      </c>
      <c r="B14" s="4">
        <v>1.91</v>
      </c>
      <c r="C14" s="4">
        <v>1.1499999999999999</v>
      </c>
      <c r="D14" s="4">
        <v>1.81</v>
      </c>
      <c r="E14" s="4">
        <v>0.63</v>
      </c>
      <c r="F14" s="4">
        <v>0.74</v>
      </c>
      <c r="G14" s="4">
        <v>0.73</v>
      </c>
      <c r="H14" s="4">
        <v>1.43</v>
      </c>
    </row>
    <row r="15" spans="1:8">
      <c r="A15" s="6" t="s">
        <v>11</v>
      </c>
      <c r="B15" s="4">
        <v>2.72</v>
      </c>
      <c r="C15" s="4">
        <v>1.24</v>
      </c>
      <c r="D15" s="4">
        <v>2.61</v>
      </c>
      <c r="E15" s="4">
        <v>0.5</v>
      </c>
      <c r="F15" s="4">
        <v>0.62</v>
      </c>
      <c r="G15" s="4">
        <v>0.62</v>
      </c>
      <c r="H15" s="4">
        <v>1.43</v>
      </c>
    </row>
    <row r="17" spans="1:18">
      <c r="A17" s="2" t="s">
        <v>27</v>
      </c>
      <c r="B17" s="2" t="s">
        <v>28</v>
      </c>
    </row>
    <row r="18" spans="1:18">
      <c r="A18" s="7" t="s">
        <v>29</v>
      </c>
      <c r="B18" s="7">
        <v>55</v>
      </c>
    </row>
    <row r="19" spans="1:18">
      <c r="A19" s="7" t="s">
        <v>30</v>
      </c>
      <c r="B19" s="7">
        <v>53</v>
      </c>
    </row>
    <row r="20" spans="1:18">
      <c r="A20" s="7" t="s">
        <v>31</v>
      </c>
      <c r="B20" s="7">
        <v>34</v>
      </c>
    </row>
    <row r="21" spans="1:18">
      <c r="A21" s="7" t="s">
        <v>32</v>
      </c>
      <c r="B21" s="7">
        <v>42</v>
      </c>
    </row>
    <row r="22" spans="1:18">
      <c r="A22" s="7" t="s">
        <v>33</v>
      </c>
      <c r="B22" s="7">
        <v>50</v>
      </c>
    </row>
    <row r="23" spans="1:18">
      <c r="A23" s="7" t="s">
        <v>34</v>
      </c>
      <c r="B23" s="7">
        <v>29</v>
      </c>
    </row>
    <row r="24" spans="1:18">
      <c r="A24" s="7" t="s">
        <v>35</v>
      </c>
      <c r="B24" s="7">
        <v>35</v>
      </c>
    </row>
    <row r="25" spans="1:18">
      <c r="A25" s="7" t="s">
        <v>36</v>
      </c>
      <c r="B25" s="7">
        <v>45</v>
      </c>
    </row>
    <row r="29" spans="1:18">
      <c r="A29" s="2" t="s">
        <v>93</v>
      </c>
      <c r="B29" s="2" t="s">
        <v>78</v>
      </c>
      <c r="C29" s="2" t="s">
        <v>79</v>
      </c>
      <c r="D29" s="2" t="s">
        <v>80</v>
      </c>
      <c r="E29" s="2" t="s">
        <v>81</v>
      </c>
      <c r="F29" s="2" t="s">
        <v>14</v>
      </c>
      <c r="G29" s="2" t="s">
        <v>82</v>
      </c>
      <c r="H29" s="2" t="s">
        <v>83</v>
      </c>
      <c r="I29" s="2" t="s">
        <v>84</v>
      </c>
      <c r="J29" s="2" t="s">
        <v>85</v>
      </c>
      <c r="K29" s="2" t="s">
        <v>86</v>
      </c>
      <c r="L29" s="2" t="s">
        <v>87</v>
      </c>
      <c r="M29" s="2" t="s">
        <v>88</v>
      </c>
      <c r="N29" s="2" t="s">
        <v>89</v>
      </c>
      <c r="O29" s="2" t="s">
        <v>90</v>
      </c>
      <c r="P29" s="2" t="s">
        <v>91</v>
      </c>
      <c r="Q29" s="2" t="s">
        <v>92</v>
      </c>
      <c r="R29" s="2" t="s">
        <v>19</v>
      </c>
    </row>
    <row r="30" spans="1:18">
      <c r="A30" s="3" t="s">
        <v>6</v>
      </c>
      <c r="B30" s="6">
        <v>0.82</v>
      </c>
      <c r="C30" s="6">
        <v>0.9</v>
      </c>
      <c r="D30" s="6">
        <v>0.81</v>
      </c>
      <c r="E30" s="6">
        <v>0.73</v>
      </c>
      <c r="F30" s="6">
        <v>0.95</v>
      </c>
      <c r="G30" s="6">
        <v>1</v>
      </c>
      <c r="H30" s="6">
        <v>1</v>
      </c>
      <c r="I30" s="6">
        <v>0.87</v>
      </c>
      <c r="J30" s="6">
        <v>1.42</v>
      </c>
      <c r="K30" s="6">
        <v>1.22</v>
      </c>
      <c r="L30" s="6">
        <v>1.34</v>
      </c>
      <c r="M30" s="6">
        <v>1.19</v>
      </c>
      <c r="N30" s="6">
        <v>1.2</v>
      </c>
      <c r="O30" s="6">
        <v>1.29</v>
      </c>
      <c r="P30" s="6">
        <v>1.17</v>
      </c>
      <c r="Q30" s="6">
        <v>1.22</v>
      </c>
      <c r="R30" s="6">
        <v>1.43</v>
      </c>
    </row>
    <row r="31" spans="1:18">
      <c r="A31" s="6" t="s">
        <v>7</v>
      </c>
      <c r="B31" s="6">
        <v>0.92</v>
      </c>
      <c r="C31" s="6">
        <v>0.9</v>
      </c>
      <c r="D31" s="6">
        <v>0.91</v>
      </c>
      <c r="E31" s="6">
        <v>0.87</v>
      </c>
      <c r="F31" s="6">
        <v>0.95</v>
      </c>
      <c r="G31" s="6">
        <v>1</v>
      </c>
      <c r="H31" s="6">
        <v>1</v>
      </c>
      <c r="I31" s="6">
        <v>0.87</v>
      </c>
      <c r="J31" s="6">
        <v>1.19</v>
      </c>
      <c r="K31" s="6">
        <v>1.1000000000000001</v>
      </c>
      <c r="L31" s="6">
        <v>1.1499999999999999</v>
      </c>
      <c r="M31" s="6">
        <v>1.0900000000000001</v>
      </c>
      <c r="N31" s="6">
        <v>1.0900000000000001</v>
      </c>
      <c r="O31" s="6">
        <v>1.1200000000000001</v>
      </c>
      <c r="P31" s="6">
        <v>1.0900000000000001</v>
      </c>
      <c r="Q31" s="6">
        <v>1.0900000000000001</v>
      </c>
      <c r="R31" s="6">
        <v>1.1399999999999999</v>
      </c>
    </row>
    <row r="32" spans="1:18">
      <c r="A32" s="6" t="s">
        <v>8</v>
      </c>
      <c r="B32" s="6">
        <v>1</v>
      </c>
      <c r="C32" s="6">
        <v>1</v>
      </c>
      <c r="D32" s="6">
        <v>1</v>
      </c>
      <c r="E32" s="6">
        <v>1</v>
      </c>
      <c r="F32" s="6">
        <v>1</v>
      </c>
      <c r="G32" s="6">
        <v>1</v>
      </c>
      <c r="H32" s="6">
        <v>1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</row>
    <row r="33" spans="1:18">
      <c r="A33" s="6" t="s">
        <v>9</v>
      </c>
      <c r="B33" s="6">
        <v>1.1000000000000001</v>
      </c>
      <c r="C33" s="6">
        <v>1.1399999999999999</v>
      </c>
      <c r="D33" s="6">
        <v>1.1100000000000001</v>
      </c>
      <c r="E33" s="6">
        <v>1.17</v>
      </c>
      <c r="F33" s="6">
        <v>1.07</v>
      </c>
      <c r="G33" s="6">
        <v>1.1100000000000001</v>
      </c>
      <c r="H33" s="6">
        <v>1.05</v>
      </c>
      <c r="I33" s="6">
        <v>1.1499999999999999</v>
      </c>
      <c r="J33" s="6">
        <v>0.85</v>
      </c>
      <c r="K33" s="6">
        <v>0.88</v>
      </c>
      <c r="L33" s="6">
        <v>0.88</v>
      </c>
      <c r="M33" s="6">
        <v>0.91</v>
      </c>
      <c r="N33" s="6">
        <v>0.91</v>
      </c>
      <c r="O33" s="6">
        <v>0.9</v>
      </c>
      <c r="P33" s="6">
        <v>0.9</v>
      </c>
      <c r="Q33" s="6">
        <v>0.93</v>
      </c>
      <c r="R33" s="6">
        <v>1</v>
      </c>
    </row>
    <row r="34" spans="1:18">
      <c r="A34" s="6" t="s">
        <v>10</v>
      </c>
      <c r="B34" s="6">
        <v>1.26</v>
      </c>
      <c r="C34" s="6">
        <v>1.28</v>
      </c>
      <c r="D34" s="6">
        <v>1.23</v>
      </c>
      <c r="E34" s="6">
        <v>1.34</v>
      </c>
      <c r="F34" s="6">
        <v>1.1499999999999999</v>
      </c>
      <c r="G34" s="6">
        <v>1.29</v>
      </c>
      <c r="H34" s="6">
        <v>1.17</v>
      </c>
      <c r="I34" s="6">
        <v>1.3</v>
      </c>
      <c r="J34" s="6">
        <v>0.71</v>
      </c>
      <c r="K34" s="6">
        <v>0.81</v>
      </c>
      <c r="L34" s="6">
        <v>0.76</v>
      </c>
      <c r="M34" s="6">
        <v>0.85</v>
      </c>
      <c r="N34" s="6">
        <v>0.84</v>
      </c>
      <c r="O34" s="6">
        <v>0.81</v>
      </c>
      <c r="P34" s="6">
        <v>0.78</v>
      </c>
      <c r="Q34" s="6">
        <v>0.86</v>
      </c>
      <c r="R34" s="6">
        <v>1</v>
      </c>
    </row>
    <row r="35" spans="1:18">
      <c r="A35" s="6" t="s">
        <v>11</v>
      </c>
      <c r="B35" s="6">
        <v>1.26</v>
      </c>
      <c r="C35" s="6">
        <v>1.28</v>
      </c>
      <c r="D35" s="6">
        <v>1.23</v>
      </c>
      <c r="E35" s="6">
        <v>1.74</v>
      </c>
      <c r="F35" s="6">
        <v>1.24</v>
      </c>
      <c r="G35" s="6">
        <v>1.63</v>
      </c>
      <c r="H35" s="6">
        <v>1.46</v>
      </c>
      <c r="I35" s="6">
        <v>1.3</v>
      </c>
      <c r="J35" s="6">
        <v>0.71</v>
      </c>
      <c r="K35" s="6">
        <v>0.81</v>
      </c>
      <c r="L35" s="6">
        <v>0.76</v>
      </c>
      <c r="M35" s="6">
        <v>0.85</v>
      </c>
      <c r="N35" s="6">
        <v>0.84</v>
      </c>
      <c r="O35" s="6">
        <v>0.81</v>
      </c>
      <c r="P35" s="6">
        <v>0.78</v>
      </c>
      <c r="Q35" s="6">
        <v>0.8</v>
      </c>
      <c r="R35" s="6">
        <v>1</v>
      </c>
    </row>
    <row r="36" spans="1:18">
      <c r="B36" s="9"/>
      <c r="F36" s="11"/>
      <c r="G36" s="11"/>
      <c r="H36" s="11"/>
      <c r="I36" s="11"/>
      <c r="J36" s="11"/>
      <c r="K36" s="11"/>
    </row>
    <row r="37" spans="1:18">
      <c r="B37" s="9"/>
      <c r="F37" s="11"/>
      <c r="G37" s="11"/>
      <c r="H37" s="11"/>
      <c r="I37" s="11"/>
      <c r="J37" s="11"/>
      <c r="K37" s="11"/>
    </row>
    <row r="38" spans="1:18">
      <c r="B38" s="8"/>
      <c r="F38" s="11"/>
      <c r="G38" s="11"/>
      <c r="H38" s="11"/>
      <c r="I38" s="11"/>
      <c r="J38" s="11"/>
      <c r="K38" s="11"/>
    </row>
    <row r="39" spans="1:18">
      <c r="B39" s="9"/>
      <c r="F39" s="11"/>
      <c r="G39" s="11"/>
      <c r="H39" s="11"/>
      <c r="I39" s="11"/>
      <c r="J39" s="11"/>
      <c r="K39" s="11"/>
    </row>
    <row r="40" spans="1:18">
      <c r="B40" s="9"/>
      <c r="F40" s="11"/>
      <c r="G40" s="11"/>
      <c r="H40" s="11"/>
      <c r="I40" s="11"/>
      <c r="J40" s="11"/>
      <c r="K40" s="11"/>
    </row>
    <row r="41" spans="1:18">
      <c r="B41" s="9"/>
      <c r="F41" s="11"/>
      <c r="G41" s="11"/>
      <c r="H41" s="11"/>
      <c r="I41" s="11"/>
      <c r="J41" s="11"/>
      <c r="K41" s="11"/>
    </row>
    <row r="42" spans="1:18">
      <c r="B42" s="8"/>
      <c r="F42" s="11"/>
      <c r="G42" s="11"/>
      <c r="H42" s="11"/>
      <c r="I42" s="11"/>
      <c r="J42" s="11"/>
      <c r="K42" s="11"/>
    </row>
    <row r="43" spans="1:18">
      <c r="B43" s="9"/>
      <c r="F43" s="11"/>
      <c r="G43" s="11"/>
      <c r="H43" s="11"/>
      <c r="I43" s="11"/>
      <c r="J43" s="11"/>
      <c r="K43" s="11"/>
    </row>
    <row r="44" spans="1:18">
      <c r="B44" s="8"/>
      <c r="F44" s="11"/>
      <c r="G44" s="11"/>
      <c r="H44" s="11"/>
      <c r="I44" s="11"/>
      <c r="J44" s="11"/>
      <c r="K44" s="11"/>
    </row>
    <row r="45" spans="1:18">
      <c r="B45" s="9"/>
      <c r="F45" s="11"/>
      <c r="G45" s="11"/>
      <c r="H45" s="11"/>
      <c r="I45" s="11"/>
      <c r="J45" s="11"/>
      <c r="K45" s="11"/>
    </row>
    <row r="46" spans="1:18">
      <c r="B46" s="10"/>
      <c r="F46" s="11"/>
      <c r="G46" s="11"/>
      <c r="H46" s="11"/>
      <c r="I46" s="11"/>
      <c r="J46" s="11"/>
      <c r="K46" s="11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21"/>
  <sheetViews>
    <sheetView showGridLines="0" workbookViewId="0">
      <selection activeCell="B3" sqref="B3:C7"/>
    </sheetView>
  </sheetViews>
  <sheetFormatPr defaultRowHeight="14.25"/>
  <cols>
    <col min="1" max="1" width="9.25" customWidth="1"/>
    <col min="2" max="2" width="16" customWidth="1"/>
    <col min="3" max="3" width="23.5" customWidth="1"/>
    <col min="5" max="5" width="13.125" customWidth="1"/>
    <col min="6" max="6" width="14.625" customWidth="1"/>
    <col min="7" max="7" width="23.875" customWidth="1"/>
  </cols>
  <sheetData>
    <row r="1" spans="1:7">
      <c r="A1" s="62" t="s">
        <v>122</v>
      </c>
      <c r="B1" s="63"/>
      <c r="C1" s="63"/>
      <c r="D1" s="63"/>
      <c r="E1" s="63"/>
      <c r="F1" s="63"/>
      <c r="G1" s="63"/>
    </row>
    <row r="2" spans="1:7" ht="16.5">
      <c r="A2" s="17" t="s">
        <v>128</v>
      </c>
      <c r="B2" s="18"/>
      <c r="C2" s="19"/>
    </row>
    <row r="3" spans="1:7" ht="16.5">
      <c r="A3" s="16" t="s">
        <v>129</v>
      </c>
      <c r="B3" s="67"/>
      <c r="C3" s="68"/>
    </row>
    <row r="4" spans="1:7" ht="16.5">
      <c r="A4" s="16" t="s">
        <v>130</v>
      </c>
      <c r="B4" s="67"/>
      <c r="C4" s="68"/>
    </row>
    <row r="5" spans="1:7" ht="16.5">
      <c r="A5" s="16" t="s">
        <v>127</v>
      </c>
      <c r="B5" s="67"/>
      <c r="C5" s="68"/>
    </row>
    <row r="6" spans="1:7" ht="16.5">
      <c r="A6" s="16" t="s">
        <v>131</v>
      </c>
      <c r="B6" s="67"/>
      <c r="C6" s="68"/>
    </row>
    <row r="7" spans="1:7" ht="16.5">
      <c r="A7" s="16" t="s">
        <v>132</v>
      </c>
      <c r="B7" s="69"/>
      <c r="C7" s="70"/>
    </row>
    <row r="8" spans="1:7" ht="16.5">
      <c r="A8" s="65" t="s">
        <v>44</v>
      </c>
      <c r="B8" s="65"/>
      <c r="C8" s="20"/>
      <c r="D8" s="20"/>
      <c r="E8" s="65" t="s">
        <v>46</v>
      </c>
      <c r="F8" s="65"/>
      <c r="G8" s="20"/>
    </row>
    <row r="9" spans="1:7" ht="16.5">
      <c r="A9" s="21" t="s">
        <v>43</v>
      </c>
      <c r="B9" s="22" t="s">
        <v>24</v>
      </c>
      <c r="C9" s="22" t="s">
        <v>37</v>
      </c>
      <c r="D9" s="20"/>
      <c r="E9" s="23" t="s">
        <v>40</v>
      </c>
      <c r="F9" s="24" t="s">
        <v>24</v>
      </c>
      <c r="G9" s="24" t="s">
        <v>41</v>
      </c>
    </row>
    <row r="10" spans="1:7" ht="16.5">
      <c r="A10" s="25" t="s">
        <v>22</v>
      </c>
      <c r="B10" s="25">
        <v>2.94</v>
      </c>
      <c r="C10" s="26"/>
      <c r="D10" s="20"/>
      <c r="E10" s="24" t="s">
        <v>39</v>
      </c>
      <c r="F10" s="27"/>
      <c r="G10" s="28" t="s">
        <v>54</v>
      </c>
    </row>
    <row r="11" spans="1:7" ht="16.5">
      <c r="A11" s="29" t="s">
        <v>23</v>
      </c>
      <c r="B11" s="25">
        <v>0.91</v>
      </c>
      <c r="C11" s="30"/>
      <c r="D11" s="20"/>
      <c r="E11" s="31" t="s">
        <v>42</v>
      </c>
      <c r="F11" s="24" t="e">
        <f>VLOOKUP($F$10,Data!$A$18:'Data'!$B$25,2,FALSE)</f>
        <v>#N/A</v>
      </c>
      <c r="G11" s="32" t="s">
        <v>150</v>
      </c>
    </row>
    <row r="12" spans="1:7" ht="16.5">
      <c r="A12" s="20"/>
      <c r="B12" s="20"/>
      <c r="C12" s="20"/>
      <c r="D12" s="20"/>
      <c r="E12" s="24" t="s">
        <v>47</v>
      </c>
      <c r="F12" s="27"/>
      <c r="G12" s="28" t="s">
        <v>53</v>
      </c>
    </row>
    <row r="13" spans="1:7" ht="16.5">
      <c r="A13" s="66" t="s">
        <v>45</v>
      </c>
      <c r="B13" s="66"/>
      <c r="C13" s="20"/>
      <c r="D13" s="20"/>
      <c r="E13" s="24" t="s">
        <v>48</v>
      </c>
      <c r="F13" s="24" t="e">
        <f>F11*F12</f>
        <v>#N/A</v>
      </c>
      <c r="G13" s="28" t="s">
        <v>52</v>
      </c>
    </row>
    <row r="14" spans="1:7" ht="16.5">
      <c r="A14" s="23" t="s">
        <v>43</v>
      </c>
      <c r="B14" s="24" t="s">
        <v>24</v>
      </c>
      <c r="C14" s="24" t="s">
        <v>38</v>
      </c>
      <c r="D14" s="20"/>
      <c r="E14" s="24" t="s">
        <v>145</v>
      </c>
      <c r="F14" s="40"/>
      <c r="G14" s="28" t="s">
        <v>146</v>
      </c>
    </row>
    <row r="15" spans="1:7" ht="16.5">
      <c r="A15" s="24" t="s">
        <v>25</v>
      </c>
      <c r="B15" s="24" t="e">
        <f>$B$11+(0.01*SUM(SF!D5:D9))</f>
        <v>#N/A</v>
      </c>
      <c r="C15" s="24" t="s">
        <v>74</v>
      </c>
      <c r="D15" s="20"/>
      <c r="E15" s="20"/>
      <c r="F15" s="20"/>
      <c r="G15" s="20"/>
    </row>
    <row r="16" spans="1:7" ht="16.5">
      <c r="A16" s="20"/>
      <c r="B16" s="20"/>
      <c r="C16" s="20"/>
      <c r="D16" s="20"/>
      <c r="E16" s="20"/>
      <c r="F16" s="20"/>
      <c r="G16" s="20"/>
    </row>
    <row r="17" spans="1:7" ht="16.5">
      <c r="A17" s="64" t="s">
        <v>121</v>
      </c>
      <c r="B17" s="64"/>
      <c r="C17" s="20"/>
      <c r="D17" s="20"/>
      <c r="E17" s="64" t="s">
        <v>120</v>
      </c>
      <c r="F17" s="64"/>
      <c r="G17" s="20"/>
    </row>
    <row r="18" spans="1:7" ht="16.5">
      <c r="A18" s="23" t="s">
        <v>43</v>
      </c>
      <c r="B18" s="24" t="s">
        <v>24</v>
      </c>
      <c r="C18" s="24" t="s">
        <v>38</v>
      </c>
      <c r="D18" s="20"/>
      <c r="E18" s="23" t="s">
        <v>43</v>
      </c>
      <c r="F18" s="24" t="s">
        <v>24</v>
      </c>
      <c r="G18" s="24" t="s">
        <v>38</v>
      </c>
    </row>
    <row r="19" spans="1:7" ht="16.5">
      <c r="A19" s="33" t="s">
        <v>26</v>
      </c>
      <c r="B19" s="24" t="e">
        <f>PRODUCT('EM1'!D5:D11)</f>
        <v>#N/A</v>
      </c>
      <c r="C19" s="24" t="s">
        <v>115</v>
      </c>
      <c r="D19" s="20"/>
      <c r="E19" s="24" t="s">
        <v>116</v>
      </c>
      <c r="F19" s="24" t="e">
        <f>PRODUCT('EM2'!E5:E21)</f>
        <v>#N/A</v>
      </c>
      <c r="G19" s="24" t="s">
        <v>117</v>
      </c>
    </row>
    <row r="20" spans="1:7" ht="16.5">
      <c r="A20" s="31" t="s">
        <v>51</v>
      </c>
      <c r="B20" s="24" t="e">
        <f>($B$10*POWER(($F$13/1000),$B$15)*$B$19)</f>
        <v>#N/A</v>
      </c>
      <c r="C20" s="24" t="s">
        <v>126</v>
      </c>
      <c r="D20" s="20"/>
      <c r="E20" s="24" t="s">
        <v>133</v>
      </c>
      <c r="F20" s="24" t="e">
        <f>($B$10*POWER(($F$13/1000),$B$15)*$F$19)</f>
        <v>#N/A</v>
      </c>
      <c r="G20" s="24" t="s">
        <v>55</v>
      </c>
    </row>
    <row r="21" spans="1:7" ht="16.5">
      <c r="A21" s="31" t="s">
        <v>147</v>
      </c>
      <c r="B21" s="24" t="e">
        <f>$F$14*$B$20</f>
        <v>#N/A</v>
      </c>
      <c r="C21" s="24" t="s">
        <v>148</v>
      </c>
      <c r="E21" s="24" t="s">
        <v>149</v>
      </c>
      <c r="F21" s="24" t="e">
        <f>$F$14*$F$20</f>
        <v>#N/A</v>
      </c>
      <c r="G21" s="24" t="s">
        <v>148</v>
      </c>
    </row>
  </sheetData>
  <sheetProtection sheet="1" objects="1" scenarios="1"/>
  <mergeCells count="11">
    <mergeCell ref="A1:G1"/>
    <mergeCell ref="A17:B17"/>
    <mergeCell ref="E17:F17"/>
    <mergeCell ref="A8:B8"/>
    <mergeCell ref="A13:B13"/>
    <mergeCell ref="E8:F8"/>
    <mergeCell ref="B3:C3"/>
    <mergeCell ref="B4:C4"/>
    <mergeCell ref="B5:C5"/>
    <mergeCell ref="B6:C6"/>
    <mergeCell ref="B7:C7"/>
  </mergeCells>
  <phoneticPr fontId="5" type="noConversion"/>
  <dataValidations count="1">
    <dataValidation type="list" allowBlank="1" showInputMessage="1" showErrorMessage="1" sqref="F10">
      <formula1>Language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showGridLines="0" workbookViewId="0">
      <selection activeCell="C5" sqref="C5"/>
    </sheetView>
  </sheetViews>
  <sheetFormatPr defaultRowHeight="14.25"/>
  <cols>
    <col min="1" max="1" width="12.875" customWidth="1"/>
    <col min="2" max="2" width="24.625" customWidth="1"/>
    <col min="3" max="3" width="15" customWidth="1"/>
  </cols>
  <sheetData>
    <row r="1" spans="1:4">
      <c r="A1" s="72" t="s">
        <v>56</v>
      </c>
      <c r="B1" s="72"/>
      <c r="C1" s="72"/>
      <c r="D1" s="72"/>
    </row>
    <row r="2" spans="1:4">
      <c r="A2" s="72"/>
      <c r="B2" s="72"/>
      <c r="C2" s="72"/>
      <c r="D2" s="72"/>
    </row>
    <row r="3" spans="1:4" ht="18">
      <c r="A3" s="71" t="s">
        <v>124</v>
      </c>
      <c r="B3" s="71"/>
      <c r="C3" s="71"/>
      <c r="D3" s="71"/>
    </row>
    <row r="4" spans="1:4" ht="16.5">
      <c r="A4" s="34" t="s">
        <v>57</v>
      </c>
      <c r="B4" s="34" t="s">
        <v>50</v>
      </c>
      <c r="C4" s="34" t="s">
        <v>49</v>
      </c>
      <c r="D4" s="34" t="s">
        <v>24</v>
      </c>
    </row>
    <row r="5" spans="1:4" ht="16.5">
      <c r="A5" s="39" t="s">
        <v>21</v>
      </c>
      <c r="B5" s="36" t="s">
        <v>58</v>
      </c>
      <c r="C5" s="37"/>
      <c r="D5" s="38" t="e">
        <f>VLOOKUP($C5,Data!$A$2:$F$7,6,FALSE)</f>
        <v>#N/A</v>
      </c>
    </row>
    <row r="6" spans="1:4" ht="16.5">
      <c r="A6" s="39" t="s">
        <v>1</v>
      </c>
      <c r="B6" s="36" t="s">
        <v>59</v>
      </c>
      <c r="C6" s="37"/>
      <c r="D6" s="38" t="e">
        <f>VLOOKUP($C6,Data!$A$2:$F$7,2,FALSE)</f>
        <v>#N/A</v>
      </c>
    </row>
    <row r="7" spans="1:4" ht="16.5">
      <c r="A7" s="39" t="s">
        <v>2</v>
      </c>
      <c r="B7" s="36" t="s">
        <v>60</v>
      </c>
      <c r="C7" s="37"/>
      <c r="D7" s="38" t="e">
        <f>VLOOKUP($C7,Data!$A$2:$F$7,3,FALSE)</f>
        <v>#N/A</v>
      </c>
    </row>
    <row r="8" spans="1:4" ht="16.5">
      <c r="A8" s="39" t="s">
        <v>3</v>
      </c>
      <c r="B8" s="36" t="s">
        <v>61</v>
      </c>
      <c r="C8" s="37"/>
      <c r="D8" s="38" t="e">
        <f>VLOOKUP($C8,Data!$A$2:$F$7,4,FALSE)</f>
        <v>#N/A</v>
      </c>
    </row>
    <row r="9" spans="1:4" ht="16.5">
      <c r="A9" s="39" t="s">
        <v>4</v>
      </c>
      <c r="B9" s="36" t="s">
        <v>62</v>
      </c>
      <c r="C9" s="37"/>
      <c r="D9" s="38" t="e">
        <f>VLOOKUP($C9,Data!$A$2:$F$7,5,FALSE)</f>
        <v>#N/A</v>
      </c>
    </row>
  </sheetData>
  <sheetProtection sheet="1" objects="1" scenarios="1"/>
  <mergeCells count="2">
    <mergeCell ref="A3:D3"/>
    <mergeCell ref="A1:D2"/>
  </mergeCells>
  <phoneticPr fontId="5" type="noConversion"/>
  <dataValidations count="1">
    <dataValidation type="list" allowBlank="1" showInputMessage="1" showErrorMessage="1" sqref="C5:C9">
      <formula1>SFSCALE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11"/>
  <sheetViews>
    <sheetView showGridLines="0" workbookViewId="0">
      <selection activeCell="C5" sqref="C5"/>
    </sheetView>
  </sheetViews>
  <sheetFormatPr defaultRowHeight="14.25"/>
  <cols>
    <col min="1" max="1" width="12.875" customWidth="1"/>
    <col min="2" max="2" width="24.875" customWidth="1"/>
    <col min="3" max="3" width="14.625" customWidth="1"/>
    <col min="4" max="4" width="6.125" bestFit="1" customWidth="1"/>
  </cols>
  <sheetData>
    <row r="1" spans="1:4">
      <c r="A1" s="73" t="s">
        <v>125</v>
      </c>
      <c r="B1" s="73"/>
      <c r="C1" s="73"/>
      <c r="D1" s="73"/>
    </row>
    <row r="2" spans="1:4">
      <c r="A2" s="73"/>
      <c r="B2" s="73"/>
      <c r="C2" s="73"/>
      <c r="D2" s="73"/>
    </row>
    <row r="3" spans="1:4" ht="18">
      <c r="A3" s="71" t="s">
        <v>135</v>
      </c>
      <c r="B3" s="71"/>
      <c r="C3" s="71"/>
      <c r="D3" s="71"/>
    </row>
    <row r="4" spans="1:4" ht="16.5">
      <c r="A4" s="34" t="s">
        <v>63</v>
      </c>
      <c r="B4" s="34" t="s">
        <v>64</v>
      </c>
      <c r="C4" s="34" t="s">
        <v>65</v>
      </c>
      <c r="D4" s="34" t="s">
        <v>66</v>
      </c>
    </row>
    <row r="5" spans="1:4" ht="16.5">
      <c r="A5" s="34" t="s">
        <v>13</v>
      </c>
      <c r="B5" s="36" t="s">
        <v>67</v>
      </c>
      <c r="C5" s="37"/>
      <c r="D5" s="38" t="e">
        <f>VLOOKUP($C5,Data!$A$10:$H$15,2,FALSE)</f>
        <v>#N/A</v>
      </c>
    </row>
    <row r="6" spans="1:4" ht="16.5">
      <c r="A6" s="34" t="s">
        <v>14</v>
      </c>
      <c r="B6" s="36" t="s">
        <v>68</v>
      </c>
      <c r="C6" s="37"/>
      <c r="D6" s="38" t="e">
        <f>VLOOKUP($C6,Data!$A$10:$H$15,3,FALSE)</f>
        <v>#N/A</v>
      </c>
    </row>
    <row r="7" spans="1:4" ht="16.5">
      <c r="A7" s="34" t="s">
        <v>15</v>
      </c>
      <c r="B7" s="36" t="s">
        <v>69</v>
      </c>
      <c r="C7" s="37"/>
      <c r="D7" s="38" t="e">
        <f>VLOOKUP($C7,Data!$A$10:$H$15,4,FALSE)</f>
        <v>#N/A</v>
      </c>
    </row>
    <row r="8" spans="1:4" ht="16.5">
      <c r="A8" s="34" t="s">
        <v>16</v>
      </c>
      <c r="B8" s="36" t="s">
        <v>70</v>
      </c>
      <c r="C8" s="37"/>
      <c r="D8" s="38" t="e">
        <f>VLOOKUP($C8,Data!$A$10:$H$15,5,FALSE)</f>
        <v>#N/A</v>
      </c>
    </row>
    <row r="9" spans="1:4" ht="16.5">
      <c r="A9" s="34" t="s">
        <v>17</v>
      </c>
      <c r="B9" s="36" t="s">
        <v>71</v>
      </c>
      <c r="C9" s="37"/>
      <c r="D9" s="38" t="e">
        <f>VLOOKUP($C9,Data!$A$10:$H$15,6,FALSE)</f>
        <v>#N/A</v>
      </c>
    </row>
    <row r="10" spans="1:4" ht="16.5">
      <c r="A10" s="34" t="s">
        <v>18</v>
      </c>
      <c r="B10" s="36" t="s">
        <v>72</v>
      </c>
      <c r="C10" s="37"/>
      <c r="D10" s="38" t="e">
        <f>VLOOKUP($C10,Data!$A$10:$H$15,7,FALSE)</f>
        <v>#N/A</v>
      </c>
    </row>
    <row r="11" spans="1:4" ht="16.5">
      <c r="A11" s="34" t="s">
        <v>19</v>
      </c>
      <c r="B11" s="36" t="s">
        <v>73</v>
      </c>
      <c r="C11" s="37"/>
      <c r="D11" s="38" t="e">
        <f>VLOOKUP($C11,Data!$A$10:$H$15,8,FALSE)</f>
        <v>#N/A</v>
      </c>
    </row>
  </sheetData>
  <sheetProtection sheet="1" objects="1" scenarios="1"/>
  <mergeCells count="2">
    <mergeCell ref="A3:D3"/>
    <mergeCell ref="A1:D2"/>
  </mergeCells>
  <phoneticPr fontId="5" type="noConversion"/>
  <dataValidations count="1">
    <dataValidation type="list" allowBlank="1" showInputMessage="1" showErrorMessage="1" sqref="C5:C11">
      <formula1>EMSCALE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21"/>
  <sheetViews>
    <sheetView showGridLines="0" workbookViewId="0">
      <selection activeCell="D21" sqref="D21"/>
    </sheetView>
  </sheetViews>
  <sheetFormatPr defaultRowHeight="14.25"/>
  <cols>
    <col min="1" max="1" width="9.125" customWidth="1"/>
    <col min="2" max="2" width="12.375" customWidth="1"/>
    <col min="3" max="3" width="18.25" customWidth="1"/>
    <col min="4" max="4" width="14.625" customWidth="1"/>
    <col min="5" max="5" width="6.125" bestFit="1" customWidth="1"/>
  </cols>
  <sheetData>
    <row r="1" spans="1:5">
      <c r="A1" s="73" t="s">
        <v>75</v>
      </c>
      <c r="B1" s="73"/>
      <c r="C1" s="73"/>
      <c r="D1" s="73"/>
      <c r="E1" s="73"/>
    </row>
    <row r="2" spans="1:5">
      <c r="A2" s="73"/>
      <c r="B2" s="73"/>
      <c r="C2" s="73"/>
      <c r="D2" s="73"/>
      <c r="E2" s="73"/>
    </row>
    <row r="3" spans="1:5" ht="18">
      <c r="A3" s="71" t="s">
        <v>134</v>
      </c>
      <c r="B3" s="71"/>
      <c r="C3" s="71"/>
      <c r="D3" s="71"/>
      <c r="E3" s="71"/>
    </row>
    <row r="4" spans="1:5" ht="16.5">
      <c r="A4" s="77" t="s">
        <v>76</v>
      </c>
      <c r="B4" s="78"/>
      <c r="C4" s="34" t="s">
        <v>64</v>
      </c>
      <c r="D4" s="34" t="s">
        <v>65</v>
      </c>
      <c r="E4" s="34" t="s">
        <v>66</v>
      </c>
    </row>
    <row r="5" spans="1:5" ht="16.5">
      <c r="A5" s="74" t="s">
        <v>77</v>
      </c>
      <c r="B5" s="35" t="s">
        <v>78</v>
      </c>
      <c r="C5" s="36" t="s">
        <v>94</v>
      </c>
      <c r="D5" s="37"/>
      <c r="E5" s="38" t="e">
        <f>VLOOKUP($D5,Data!$A$30:$R$35,2,FALSE)</f>
        <v>#N/A</v>
      </c>
    </row>
    <row r="6" spans="1:5" ht="16.5">
      <c r="A6" s="75"/>
      <c r="B6" s="35" t="s">
        <v>79</v>
      </c>
      <c r="C6" s="36" t="s">
        <v>95</v>
      </c>
      <c r="D6" s="37"/>
      <c r="E6" s="38" t="e">
        <f>VLOOKUP($D6,Data!$A$30:$R$35,3,FALSE)</f>
        <v>#N/A</v>
      </c>
    </row>
    <row r="7" spans="1:5" ht="16.5">
      <c r="A7" s="75"/>
      <c r="B7" s="35" t="s">
        <v>80</v>
      </c>
      <c r="C7" s="36" t="s">
        <v>96</v>
      </c>
      <c r="D7" s="37"/>
      <c r="E7" s="38" t="e">
        <f>VLOOKUP($D7,Data!$A$30:$R$35,4,FALSE)</f>
        <v>#N/A</v>
      </c>
    </row>
    <row r="8" spans="1:5" ht="16.5">
      <c r="A8" s="75"/>
      <c r="B8" s="35" t="s">
        <v>81</v>
      </c>
      <c r="C8" s="36" t="s">
        <v>97</v>
      </c>
      <c r="D8" s="37"/>
      <c r="E8" s="38" t="e">
        <f>VLOOKUP($D8,Data!$A$30:$R$35,5,FALSE)</f>
        <v>#N/A</v>
      </c>
    </row>
    <row r="9" spans="1:5" ht="16.5">
      <c r="A9" s="76"/>
      <c r="B9" s="35" t="s">
        <v>14</v>
      </c>
      <c r="C9" s="36" t="s">
        <v>98</v>
      </c>
      <c r="D9" s="37"/>
      <c r="E9" s="38" t="e">
        <f>VLOOKUP($D9,Data!$A$30:$R$35,6,FALSE)</f>
        <v>#N/A</v>
      </c>
    </row>
    <row r="10" spans="1:5" ht="16.5">
      <c r="A10" s="79" t="s">
        <v>99</v>
      </c>
      <c r="B10" s="35" t="s">
        <v>82</v>
      </c>
      <c r="C10" s="36" t="s">
        <v>102</v>
      </c>
      <c r="D10" s="37"/>
      <c r="E10" s="38" t="e">
        <f>VLOOKUP($D10,Data!$A$30:$R$35,7,FALSE)</f>
        <v>#N/A</v>
      </c>
    </row>
    <row r="11" spans="1:5" ht="16.5">
      <c r="A11" s="80"/>
      <c r="B11" s="35" t="s">
        <v>83</v>
      </c>
      <c r="C11" s="36" t="s">
        <v>103</v>
      </c>
      <c r="D11" s="37"/>
      <c r="E11" s="38" t="e">
        <f>VLOOKUP($D11,Data!$A$30:$R$35,8,FALSE)</f>
        <v>#N/A</v>
      </c>
    </row>
    <row r="12" spans="1:5" ht="16.5">
      <c r="A12" s="80"/>
      <c r="B12" s="35" t="s">
        <v>84</v>
      </c>
      <c r="C12" s="36" t="s">
        <v>104</v>
      </c>
      <c r="D12" s="37"/>
      <c r="E12" s="38" t="e">
        <f>VLOOKUP($D12,Data!$A$30:$R$35,9,FALSE)</f>
        <v>#N/A</v>
      </c>
    </row>
    <row r="13" spans="1:5" ht="16.5">
      <c r="A13" s="74" t="s">
        <v>101</v>
      </c>
      <c r="B13" s="35" t="s">
        <v>85</v>
      </c>
      <c r="C13" s="36" t="s">
        <v>105</v>
      </c>
      <c r="D13" s="37"/>
      <c r="E13" s="38" t="e">
        <f>VLOOKUP($D13,Data!$A$30:$R$35,10,FALSE)</f>
        <v>#N/A</v>
      </c>
    </row>
    <row r="14" spans="1:5" ht="16.5">
      <c r="A14" s="75"/>
      <c r="B14" s="35" t="s">
        <v>106</v>
      </c>
      <c r="C14" s="36" t="s">
        <v>107</v>
      </c>
      <c r="D14" s="37"/>
      <c r="E14" s="38" t="e">
        <f>VLOOKUP($D14,Data!$A$30:$R$35,11,FALSE)</f>
        <v>#N/A</v>
      </c>
    </row>
    <row r="15" spans="1:5" ht="16.5">
      <c r="A15" s="75"/>
      <c r="B15" s="35" t="s">
        <v>87</v>
      </c>
      <c r="C15" s="36" t="s">
        <v>108</v>
      </c>
      <c r="D15" s="37"/>
      <c r="E15" s="38" t="e">
        <f>VLOOKUP($D15,Data!$A$30:$R$35,12,FALSE)</f>
        <v>#N/A</v>
      </c>
    </row>
    <row r="16" spans="1:5" ht="16.5">
      <c r="A16" s="75"/>
      <c r="B16" s="35" t="s">
        <v>88</v>
      </c>
      <c r="C16" s="36" t="s">
        <v>109</v>
      </c>
      <c r="D16" s="37"/>
      <c r="E16" s="38" t="e">
        <f>VLOOKUP($D16,Data!$A$30:$R$35,13,FALSE)</f>
        <v>#N/A</v>
      </c>
    </row>
    <row r="17" spans="1:5" ht="16.5">
      <c r="A17" s="75"/>
      <c r="B17" s="35" t="s">
        <v>89</v>
      </c>
      <c r="C17" s="36" t="s">
        <v>110</v>
      </c>
      <c r="D17" s="37"/>
      <c r="E17" s="38" t="e">
        <f>VLOOKUP($D17,Data!$A$30:$R$35,14,FALSE)</f>
        <v>#N/A</v>
      </c>
    </row>
    <row r="18" spans="1:5" ht="16.5">
      <c r="A18" s="76"/>
      <c r="B18" s="35" t="s">
        <v>90</v>
      </c>
      <c r="C18" s="36" t="s">
        <v>111</v>
      </c>
      <c r="D18" s="37"/>
      <c r="E18" s="38" t="e">
        <f>VLOOKUP($D18,Data!$A$30:$R$35,15,FALSE)</f>
        <v>#N/A</v>
      </c>
    </row>
    <row r="19" spans="1:5" ht="16.5">
      <c r="A19" s="74" t="s">
        <v>100</v>
      </c>
      <c r="B19" s="35" t="s">
        <v>91</v>
      </c>
      <c r="C19" s="36" t="s">
        <v>112</v>
      </c>
      <c r="D19" s="37"/>
      <c r="E19" s="38" t="e">
        <f>VLOOKUP($D19,Data!$A$30:$R$35,16,FALSE)</f>
        <v>#N/A</v>
      </c>
    </row>
    <row r="20" spans="1:5" ht="16.5">
      <c r="A20" s="75"/>
      <c r="B20" s="35" t="s">
        <v>92</v>
      </c>
      <c r="C20" s="36" t="s">
        <v>113</v>
      </c>
      <c r="D20" s="37"/>
      <c r="E20" s="38" t="e">
        <f>VLOOKUP($D20,Data!$A$30:$R$35,17,FALSE)</f>
        <v>#N/A</v>
      </c>
    </row>
    <row r="21" spans="1:5" ht="16.5">
      <c r="A21" s="76"/>
      <c r="B21" s="35" t="s">
        <v>19</v>
      </c>
      <c r="C21" s="36" t="s">
        <v>114</v>
      </c>
      <c r="D21" s="37"/>
      <c r="E21" s="38" t="e">
        <f>VLOOKUP($D21,Data!$A$30:$R$35,18,FALSE)</f>
        <v>#N/A</v>
      </c>
    </row>
  </sheetData>
  <sheetProtection sheet="1" objects="1" scenarios="1"/>
  <mergeCells count="7">
    <mergeCell ref="A19:A21"/>
    <mergeCell ref="A1:E2"/>
    <mergeCell ref="A3:E3"/>
    <mergeCell ref="A4:B4"/>
    <mergeCell ref="A5:A9"/>
    <mergeCell ref="A10:A12"/>
    <mergeCell ref="A13:A18"/>
  </mergeCells>
  <phoneticPr fontId="5" type="noConversion"/>
  <dataValidations count="1">
    <dataValidation type="list" allowBlank="1" showInputMessage="1" showErrorMessage="1" sqref="D5:D21">
      <formula1>EM2SCALE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Introduction</vt:lpstr>
      <vt:lpstr>Data</vt:lpstr>
      <vt:lpstr>Calculator</vt:lpstr>
      <vt:lpstr>SF</vt:lpstr>
      <vt:lpstr>EM1</vt:lpstr>
      <vt:lpstr>EM2</vt:lpstr>
      <vt:lpstr>EM2SCALE</vt:lpstr>
      <vt:lpstr>EMSCALE</vt:lpstr>
      <vt:lpstr>Language</vt:lpstr>
      <vt:lpstr>SFSCALE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李灯举</dc:creator>
  <cp:lastModifiedBy>李灯举</cp:lastModifiedBy>
  <dcterms:created xsi:type="dcterms:W3CDTF">2015-06-05T18:19:34Z</dcterms:created>
  <dcterms:modified xsi:type="dcterms:W3CDTF">2016-03-01T02:25:38Z</dcterms:modified>
</cp:coreProperties>
</file>