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\Desktop\成本估算\"/>
    </mc:Choice>
  </mc:AlternateContent>
  <workbookProtection lockStructure="1"/>
  <bookViews>
    <workbookView xWindow="-15" yWindow="-15" windowWidth="11970" windowHeight="6930" tabRatio="625" firstSheet="1" activeTab="1"/>
  </bookViews>
  <sheets>
    <sheet name="Backfiring" sheetId="11" state="hidden" r:id="rId1"/>
    <sheet name="Instructions" sheetId="1" r:id="rId2"/>
    <sheet name="Result" sheetId="2" r:id="rId3"/>
    <sheet name="TCF" sheetId="3" r:id="rId4"/>
    <sheet name="FPs" sheetId="4" r:id="rId5"/>
    <sheet name="ILFs" sheetId="5" r:id="rId6"/>
    <sheet name="EIFs" sheetId="6" r:id="rId7"/>
    <sheet name="EIs" sheetId="7" r:id="rId8"/>
    <sheet name="EOs" sheetId="8" r:id="rId9"/>
    <sheet name="EQs" sheetId="9" r:id="rId10"/>
    <sheet name="Module2" sheetId="10" state="veryHidden" r:id="rId11"/>
  </sheets>
  <definedNames>
    <definedName name="degrees">Backfiring!$E$2:$E$7</definedName>
    <definedName name="language">Backfiring!$A$2:$A$9</definedName>
  </definedNames>
  <calcPr calcId="162913"/>
</workbook>
</file>

<file path=xl/calcChain.xml><?xml version="1.0" encoding="utf-8"?>
<calcChain xmlns="http://schemas.openxmlformats.org/spreadsheetml/2006/main">
  <c r="F8" i="7" l="1"/>
  <c r="E8" i="7"/>
  <c r="D8" i="7"/>
  <c r="F8" i="6"/>
  <c r="E8" i="6"/>
  <c r="D8" i="6"/>
  <c r="J8" i="9" l="1"/>
  <c r="I8" i="9"/>
  <c r="H8" i="9"/>
  <c r="G8" i="9"/>
  <c r="D8" i="9"/>
  <c r="J9" i="9"/>
  <c r="I9" i="9"/>
  <c r="H9" i="9"/>
  <c r="G9" i="9"/>
  <c r="D9" i="9"/>
  <c r="F8" i="5"/>
  <c r="E8" i="5"/>
  <c r="D8" i="5"/>
  <c r="D5" i="5" l="1"/>
  <c r="G5" i="9"/>
  <c r="D5" i="9"/>
  <c r="C17" i="3"/>
  <c r="C18" i="3" s="1"/>
  <c r="B11" i="2" s="1"/>
  <c r="D5" i="6"/>
  <c r="E5" i="6"/>
  <c r="F5" i="6"/>
  <c r="D7" i="6"/>
  <c r="E7" i="6"/>
  <c r="F7" i="6"/>
  <c r="D9" i="6"/>
  <c r="E9" i="6"/>
  <c r="F9" i="6"/>
  <c r="D5" i="7"/>
  <c r="E5" i="7"/>
  <c r="F5" i="7"/>
  <c r="D6" i="7"/>
  <c r="E6" i="7"/>
  <c r="F6" i="7"/>
  <c r="D7" i="7"/>
  <c r="E7" i="7"/>
  <c r="F7" i="7"/>
  <c r="D9" i="7"/>
  <c r="E9" i="7"/>
  <c r="F9" i="7"/>
  <c r="D5" i="8"/>
  <c r="E5" i="8"/>
  <c r="F5" i="8"/>
  <c r="D6" i="8"/>
  <c r="E6" i="8"/>
  <c r="F6" i="8"/>
  <c r="D7" i="8"/>
  <c r="E7" i="8"/>
  <c r="F7" i="8"/>
  <c r="D8" i="8"/>
  <c r="E8" i="8"/>
  <c r="F8" i="8"/>
  <c r="D9" i="8"/>
  <c r="E9" i="8"/>
  <c r="F9" i="8"/>
  <c r="D10" i="8"/>
  <c r="E10" i="8"/>
  <c r="F10" i="8"/>
  <c r="D6" i="9"/>
  <c r="G6" i="9"/>
  <c r="H6" i="9"/>
  <c r="I6" i="9"/>
  <c r="J6" i="9"/>
  <c r="D7" i="9"/>
  <c r="G7" i="9"/>
  <c r="H7" i="9"/>
  <c r="I7" i="9"/>
  <c r="J7" i="9"/>
  <c r="D10" i="9"/>
  <c r="G10" i="9"/>
  <c r="H10" i="9"/>
  <c r="I10" i="9"/>
  <c r="J10" i="9"/>
  <c r="E5" i="5"/>
  <c r="F5" i="5"/>
  <c r="D6" i="5"/>
  <c r="E6" i="5"/>
  <c r="F6" i="5"/>
  <c r="D7" i="5"/>
  <c r="E7" i="5"/>
  <c r="F7" i="5"/>
  <c r="D9" i="5"/>
  <c r="E9" i="5"/>
  <c r="F9" i="5"/>
  <c r="J5" i="9" l="1"/>
  <c r="J11" i="9" s="1"/>
  <c r="C18" i="4" s="1"/>
  <c r="E18" i="4" s="1"/>
  <c r="H5" i="9"/>
  <c r="H11" i="9" s="1"/>
  <c r="C16" i="4" s="1"/>
  <c r="E16" i="4" s="1"/>
  <c r="F10" i="7"/>
  <c r="C12" i="4" s="1"/>
  <c r="E12" i="4" s="1"/>
  <c r="D10" i="7"/>
  <c r="C10" i="4" s="1"/>
  <c r="E10" i="4" s="1"/>
  <c r="E10" i="7"/>
  <c r="C11" i="4" s="1"/>
  <c r="E11" i="4" s="1"/>
  <c r="D11" i="8"/>
  <c r="C13" i="4" s="1"/>
  <c r="E13" i="4" s="1"/>
  <c r="F11" i="8"/>
  <c r="C15" i="4" s="1"/>
  <c r="E15" i="4" s="1"/>
  <c r="E11" i="8"/>
  <c r="C14" i="4" s="1"/>
  <c r="E14" i="4" s="1"/>
  <c r="D10" i="6"/>
  <c r="C7" i="4" s="1"/>
  <c r="E7" i="4" s="1"/>
  <c r="F10" i="6"/>
  <c r="C9" i="4" s="1"/>
  <c r="E9" i="4" s="1"/>
  <c r="E10" i="6"/>
  <c r="C8" i="4" s="1"/>
  <c r="E8" i="4" s="1"/>
  <c r="F10" i="5"/>
  <c r="C6" i="4" s="1"/>
  <c r="E6" i="4" s="1"/>
  <c r="D10" i="5"/>
  <c r="C4" i="4" s="1"/>
  <c r="E4" i="4" s="1"/>
  <c r="E10" i="5"/>
  <c r="C5" i="4" s="1"/>
  <c r="E5" i="4" s="1"/>
  <c r="I5" i="9" l="1"/>
  <c r="I11" i="9" s="1"/>
  <c r="C17" i="4" s="1"/>
  <c r="E17" i="4" s="1"/>
  <c r="E19" i="4" s="1"/>
  <c r="F4" i="4" s="1"/>
  <c r="F7" i="4" l="1"/>
  <c r="F10" i="4"/>
  <c r="B10" i="2"/>
  <c r="B12" i="2" s="1"/>
  <c r="B14" i="2" s="1"/>
  <c r="B16" i="2" s="1"/>
  <c r="F13" i="4"/>
  <c r="F16" i="4"/>
  <c r="E7" i="2" l="1"/>
  <c r="F19" i="4"/>
  <c r="H7" i="2" l="1"/>
</calcChain>
</file>

<file path=xl/comments1.xml><?xml version="1.0" encoding="utf-8"?>
<comments xmlns="http://schemas.openxmlformats.org/spreadsheetml/2006/main">
  <authors>
    <author>李灯举</author>
  </authors>
  <commentList>
    <comment ref="A4" authorId="0" shapeId="0">
      <text>
        <r>
          <rPr>
            <sz val="9"/>
            <color indexed="81"/>
            <rFont val="宋体"/>
            <family val="3"/>
            <charset val="134"/>
          </rPr>
          <t>这个工作薄可以帮助您快速基于功能点进行成本估算
.您可以设置项目基本信息
.计算未调整功能点计数
.计算技术复杂度因子
.计算最终结果即功能点估算</t>
        </r>
      </text>
    </comment>
  </commentList>
</comments>
</file>

<file path=xl/comments2.xml><?xml version="1.0" encoding="utf-8"?>
<comments xmlns="http://schemas.openxmlformats.org/spreadsheetml/2006/main">
  <authors>
    <author>李灯举</author>
  </authors>
  <commentList>
    <comment ref="G7" authorId="0" shapeId="0">
      <text>
        <r>
          <rPr>
            <sz val="9"/>
            <color indexed="81"/>
            <rFont val="宋体"/>
            <family val="3"/>
            <charset val="134"/>
          </rPr>
          <t xml:space="preserve">选择语言
</t>
        </r>
      </text>
    </comment>
  </commentList>
</comments>
</file>

<file path=xl/comments3.xml><?xml version="1.0" encoding="utf-8"?>
<comments xmlns="http://schemas.openxmlformats.org/spreadsheetml/2006/main">
  <authors>
    <author>李灯举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0：不存在或者没有影响
1：不显著影响
2：相当的影响
3：平均的影响
4：显著的影响
5：强大的影响</t>
        </r>
      </text>
    </comment>
  </commentList>
</comments>
</file>

<file path=xl/comments4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用来预览在ILF、EIF、EI、EO、EQ中的数据</t>
        </r>
      </text>
    </comment>
  </commentList>
</comments>
</file>

<file path=xl/comments5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内部逻辑文件是用户可确认的、在应用程序内部维护的、逻辑上相关联的最终用户数据或控制信息，如一个平面文件，或者关系数据库中的一个表。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6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外部接口文件是受其他程序控制的文件，是用户可以识别的一组逻辑相关数据，这组数据只能被引用。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7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外部输入是最终用户或者其他程序来增加、删除或改变程序数据的屏幕、表单、对话框或控制信号等。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8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外部输出是程序生成供最终用户或其他程序使用的屏幕、报表、图表或控制信号等。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9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外部查询是输入/输出的组合，其中的一个输入引出一个即时的简单输出。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File Type Referenced
引用文件类型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File Type Referenced
引用文件类型</t>
        </r>
      </text>
    </comment>
  </commentList>
</comments>
</file>

<file path=xl/sharedStrings.xml><?xml version="1.0" encoding="utf-8"?>
<sst xmlns="http://schemas.openxmlformats.org/spreadsheetml/2006/main" count="249" uniqueCount="171">
  <si>
    <t xml:space="preserve"> </t>
  </si>
  <si>
    <t xml:space="preserve">FP % </t>
  </si>
  <si>
    <t>功能点估算</t>
    <phoneticPr fontId="10" type="noConversion"/>
  </si>
  <si>
    <t>4. 计算技术复杂度因子(TCF)</t>
    <phoneticPr fontId="10" type="noConversion"/>
  </si>
  <si>
    <t xml:space="preserve">    外部接口文件External Interface Files (EIFs)</t>
    <phoneticPr fontId="10" type="noConversion"/>
  </si>
  <si>
    <t xml:space="preserve">    内部逻辑文件 Internal Logical Files (ILFs)</t>
    <phoneticPr fontId="10" type="noConversion"/>
  </si>
  <si>
    <t xml:space="preserve">    外部输入External Inputs (EIs)</t>
    <phoneticPr fontId="10" type="noConversion"/>
  </si>
  <si>
    <t xml:space="preserve">    外部查询External Queries (EQs)</t>
    <phoneticPr fontId="10" type="noConversion"/>
  </si>
  <si>
    <t>1. 为要进行估算的项目或应用完善信息</t>
    <phoneticPr fontId="10" type="noConversion"/>
  </si>
  <si>
    <t>2. 列表并且分析项目各个部分</t>
    <phoneticPr fontId="10" type="noConversion"/>
  </si>
  <si>
    <t xml:space="preserve">    外部输出External Outputs (EOs)</t>
    <phoneticPr fontId="10" type="noConversion"/>
  </si>
  <si>
    <t>3. 查看未调整功能点计数(UFC)</t>
    <phoneticPr fontId="10" type="noConversion"/>
  </si>
  <si>
    <t>5. 设定项目生产率(PE)</t>
    <phoneticPr fontId="10" type="noConversion"/>
  </si>
  <si>
    <t>项目信息</t>
    <phoneticPr fontId="10" type="noConversion"/>
  </si>
  <si>
    <t>客户名称</t>
    <phoneticPr fontId="10" type="noConversion"/>
  </si>
  <si>
    <t>项目名称</t>
    <phoneticPr fontId="10" type="noConversion"/>
  </si>
  <si>
    <t>项目编号</t>
    <phoneticPr fontId="10" type="noConversion"/>
  </si>
  <si>
    <t>统计人</t>
    <phoneticPr fontId="10" type="noConversion"/>
  </si>
  <si>
    <t>日期</t>
    <phoneticPr fontId="10" type="noConversion"/>
  </si>
  <si>
    <t>参数</t>
    <phoneticPr fontId="10" type="noConversion"/>
  </si>
  <si>
    <t>功能点到代码行转换器</t>
    <phoneticPr fontId="10" type="noConversion"/>
  </si>
  <si>
    <t>VB Script</t>
  </si>
  <si>
    <t>SQL</t>
  </si>
  <si>
    <t>VB 5</t>
  </si>
  <si>
    <t>JavaScript</t>
  </si>
  <si>
    <t>HTML</t>
  </si>
  <si>
    <t>Visual C++</t>
  </si>
  <si>
    <t>Java</t>
  </si>
  <si>
    <t>C++</t>
  </si>
  <si>
    <t>SLOC</t>
  </si>
  <si>
    <t>Language/Technology</t>
  </si>
  <si>
    <t>技术复杂度因子</t>
    <phoneticPr fontId="10" type="noConversion"/>
  </si>
  <si>
    <t>数据通信</t>
    <phoneticPr fontId="10" type="noConversion"/>
  </si>
  <si>
    <t>分布数据处理</t>
    <phoneticPr fontId="10" type="noConversion"/>
  </si>
  <si>
    <t>性能</t>
    <phoneticPr fontId="10" type="noConversion"/>
  </si>
  <si>
    <t>硬件负荷</t>
    <phoneticPr fontId="10" type="noConversion"/>
  </si>
  <si>
    <t>事务额度</t>
    <phoneticPr fontId="10" type="noConversion"/>
  </si>
  <si>
    <t>在线数据输入</t>
    <phoneticPr fontId="10" type="noConversion"/>
  </si>
  <si>
    <t>终端用户效率</t>
    <phoneticPr fontId="10" type="noConversion"/>
  </si>
  <si>
    <t>在线更新</t>
    <phoneticPr fontId="10" type="noConversion"/>
  </si>
  <si>
    <t>处理复杂度</t>
    <phoneticPr fontId="10" type="noConversion"/>
  </si>
  <si>
    <t>可复用性</t>
    <phoneticPr fontId="10" type="noConversion"/>
  </si>
  <si>
    <t>易安装性</t>
    <phoneticPr fontId="10" type="noConversion"/>
  </si>
  <si>
    <t>易操作性</t>
    <phoneticPr fontId="10" type="noConversion"/>
  </si>
  <si>
    <t>跨平台性</t>
    <phoneticPr fontId="10" type="noConversion"/>
  </si>
  <si>
    <t>可扩展性</t>
    <phoneticPr fontId="10" type="noConversion"/>
  </si>
  <si>
    <t>描述</t>
    <phoneticPr fontId="10" type="noConversion"/>
  </si>
  <si>
    <t>自动计算，以上影响度</t>
    <phoneticPr fontId="10" type="noConversion"/>
  </si>
  <si>
    <t>多少个通信设施在应用或系统之间辅助传输和交换信息</t>
    <phoneticPr fontId="10" type="noConversion"/>
  </si>
  <si>
    <t>分布的数据和过程函数如何处理</t>
    <phoneticPr fontId="10" type="noConversion"/>
  </si>
  <si>
    <t>用户要求相应时间或者吞吐量吗</t>
    <phoneticPr fontId="10" type="noConversion"/>
  </si>
  <si>
    <t>应用运行在硬件平台工作强度如何</t>
    <phoneticPr fontId="10" type="noConversion"/>
  </si>
  <si>
    <t>事务执行的频率（天、周、月）如何</t>
    <phoneticPr fontId="10" type="noConversion"/>
  </si>
  <si>
    <t>在线数据输入率是多少</t>
    <phoneticPr fontId="10" type="noConversion"/>
  </si>
  <si>
    <t>应用程序设计考虑到终端用户的效率吗</t>
    <phoneticPr fontId="10" type="noConversion"/>
  </si>
  <si>
    <t>多少内部逻辑文件被在线事务所更新</t>
    <phoneticPr fontId="10" type="noConversion"/>
  </si>
  <si>
    <t>应用有很多的逻辑或数据处理吗</t>
    <phoneticPr fontId="10" type="noConversion"/>
  </si>
  <si>
    <t>被开发的应用要满足一个或者多个用户需要吗</t>
    <phoneticPr fontId="10" type="noConversion"/>
  </si>
  <si>
    <t>升级或者安装的难度如何</t>
    <phoneticPr fontId="10" type="noConversion"/>
  </si>
  <si>
    <t>启动、备份、恢复过程的效率和自动化程度如何</t>
    <phoneticPr fontId="10" type="noConversion"/>
  </si>
  <si>
    <t>应用被设计、开发和支持被安装在多个组织的多个安装点（不同的安装点软硬件平台环境不同）吗</t>
    <phoneticPr fontId="10" type="noConversion"/>
  </si>
  <si>
    <t>应用被设计、开发以适应变化吗</t>
    <phoneticPr fontId="10" type="noConversion"/>
  </si>
  <si>
    <t>6. 查看最终估算结果</t>
    <phoneticPr fontId="10" type="noConversion"/>
  </si>
  <si>
    <t>功能类型</t>
    <phoneticPr fontId="10" type="noConversion"/>
  </si>
  <si>
    <t>功能复杂度</t>
    <phoneticPr fontId="10" type="noConversion"/>
  </si>
  <si>
    <t>计数</t>
    <phoneticPr fontId="10" type="noConversion"/>
  </si>
  <si>
    <t>权重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</si>
  <si>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</si>
  <si>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</si>
  <si>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</si>
  <si>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未调整功能点计数总数</t>
    <phoneticPr fontId="10" type="noConversion"/>
  </si>
  <si>
    <t>文件列表</t>
    <phoneticPr fontId="10" type="noConversion"/>
  </si>
  <si>
    <t>复杂度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</si>
  <si>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</si>
  <si>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</si>
  <si>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</si>
  <si>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备注</t>
    <phoneticPr fontId="10" type="noConversion"/>
  </si>
  <si>
    <t>总计</t>
    <phoneticPr fontId="10" type="noConversion"/>
  </si>
  <si>
    <t>复杂度</t>
    <phoneticPr fontId="10" type="noConversion"/>
  </si>
  <si>
    <t>低</t>
    <phoneticPr fontId="10" type="noConversion"/>
  </si>
  <si>
    <t>备注</t>
    <phoneticPr fontId="10" type="noConversion"/>
  </si>
  <si>
    <t>结果</t>
    <phoneticPr fontId="10" type="noConversion"/>
  </si>
  <si>
    <t>查询列表</t>
    <phoneticPr fontId="10" type="noConversion"/>
  </si>
  <si>
    <t>复杂度</t>
    <phoneticPr fontId="10" type="noConversion"/>
  </si>
  <si>
    <t>中</t>
    <phoneticPr fontId="10" type="noConversion"/>
  </si>
  <si>
    <t>总计</t>
    <phoneticPr fontId="10" type="noConversion"/>
  </si>
  <si>
    <t>自动计算: (UFC*TCF)</t>
    <phoneticPr fontId="10" type="noConversion"/>
  </si>
  <si>
    <t>未调整功能点计数(UFC)</t>
    <phoneticPr fontId="10" type="noConversion"/>
  </si>
  <si>
    <t>技术复杂度因子(TCF)</t>
    <phoneticPr fontId="10" type="noConversion"/>
  </si>
  <si>
    <t>调整后功能点计数(AFP)</t>
    <phoneticPr fontId="10" type="noConversion"/>
  </si>
  <si>
    <t>项目生产率 (PE)</t>
    <phoneticPr fontId="10" type="noConversion"/>
  </si>
  <si>
    <t>项目生产率：工时/功能点</t>
    <phoneticPr fontId="10" type="noConversion"/>
  </si>
  <si>
    <t>自动计算: (AFP*PE)</t>
    <phoneticPr fontId="10" type="noConversion"/>
  </si>
  <si>
    <t>功能点</t>
    <phoneticPr fontId="10" type="noConversion"/>
  </si>
  <si>
    <t>行</t>
    <phoneticPr fontId="10" type="noConversion"/>
  </si>
  <si>
    <t>值</t>
    <phoneticPr fontId="10" type="noConversion"/>
  </si>
  <si>
    <t>备注</t>
    <phoneticPr fontId="10" type="noConversion"/>
  </si>
  <si>
    <t>1.</t>
    <phoneticPr fontId="10" type="noConversion"/>
  </si>
  <si>
    <t>2.</t>
    <phoneticPr fontId="10" type="noConversion"/>
  </si>
  <si>
    <t>3.</t>
    <phoneticPr fontId="10" type="noConversion"/>
  </si>
  <si>
    <t>4.</t>
    <phoneticPr fontId="10" type="noConversion"/>
  </si>
  <si>
    <t>5.</t>
    <phoneticPr fontId="10" type="noConversion"/>
  </si>
  <si>
    <t>6.</t>
    <phoneticPr fontId="10" type="noConversion"/>
  </si>
  <si>
    <t>7.</t>
    <phoneticPr fontId="10" type="noConversion"/>
  </si>
  <si>
    <t>8.</t>
    <phoneticPr fontId="10" type="noConversion"/>
  </si>
  <si>
    <t>9.</t>
    <phoneticPr fontId="10" type="noConversion"/>
  </si>
  <si>
    <t>10.</t>
    <phoneticPr fontId="10" type="noConversion"/>
  </si>
  <si>
    <t>11.</t>
    <phoneticPr fontId="10" type="noConversion"/>
  </si>
  <si>
    <t>12.</t>
    <phoneticPr fontId="10" type="noConversion"/>
  </si>
  <si>
    <t>13.</t>
    <phoneticPr fontId="10" type="noConversion"/>
  </si>
  <si>
    <t>14.</t>
    <phoneticPr fontId="10" type="noConversion"/>
  </si>
  <si>
    <t>通用特性</t>
    <phoneticPr fontId="10" type="noConversion"/>
  </si>
  <si>
    <t>调整后功能点计数(TCF)</t>
    <phoneticPr fontId="10" type="noConversion"/>
  </si>
  <si>
    <t>影响度  (0-5)</t>
    <phoneticPr fontId="10" type="noConversion"/>
  </si>
  <si>
    <t>自动计算 ((TDI*0.01)+0.65)</t>
    <phoneticPr fontId="10" type="noConversion"/>
  </si>
  <si>
    <t xml:space="preserve">功能点数 (FPs) </t>
    <phoneticPr fontId="10" type="noConversion"/>
  </si>
  <si>
    <t>外部查询 (EQs)</t>
    <phoneticPr fontId="10" type="noConversion"/>
  </si>
  <si>
    <t>外部输出 (EOs)</t>
    <phoneticPr fontId="10" type="noConversion"/>
  </si>
  <si>
    <t>内部逻辑文件 (ILFs)</t>
    <phoneticPr fontId="10" type="noConversion"/>
  </si>
  <si>
    <t>外部接口文件(EIFs)</t>
    <phoneticPr fontId="10" type="noConversion"/>
  </si>
  <si>
    <t>外部输入 (EIs)</t>
    <phoneticPr fontId="10" type="noConversion"/>
  </si>
  <si>
    <t>未调整功能点计数(UFC)</t>
    <phoneticPr fontId="10" type="noConversion"/>
  </si>
  <si>
    <t>文件列表</t>
    <phoneticPr fontId="10" type="noConversion"/>
  </si>
  <si>
    <t>低</t>
    <phoneticPr fontId="10" type="noConversion"/>
  </si>
  <si>
    <t>总计</t>
    <phoneticPr fontId="10" type="noConversion"/>
  </si>
  <si>
    <t>复杂度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</si>
  <si>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</si>
  <si>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</si>
  <si>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</si>
  <si>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文件列表</t>
    <phoneticPr fontId="10" type="noConversion"/>
  </si>
  <si>
    <r>
      <t>RET</t>
    </r>
    <r>
      <rPr>
        <sz val="10"/>
        <rFont val="微软雅黑"/>
        <family val="2"/>
        <charset val="134"/>
      </rPr>
      <t>个数</t>
    </r>
    <phoneticPr fontId="10" type="noConversion"/>
  </si>
  <si>
    <r>
      <t>DET</t>
    </r>
    <r>
      <rPr>
        <sz val="10"/>
        <rFont val="微软雅黑"/>
        <family val="2"/>
        <charset val="134"/>
      </rPr>
      <t>个数</t>
    </r>
    <phoneticPr fontId="10" type="noConversion"/>
  </si>
  <si>
    <t>内部逻辑文件 (ILFs)</t>
    <phoneticPr fontId="10" type="noConversion"/>
  </si>
  <si>
    <t>DET个数</t>
    <phoneticPr fontId="10" type="noConversion"/>
  </si>
  <si>
    <t>RET个数</t>
    <phoneticPr fontId="10" type="noConversion"/>
  </si>
  <si>
    <r>
      <t>DET</t>
    </r>
    <r>
      <rPr>
        <sz val="10"/>
        <rFont val="宋体"/>
        <family val="3"/>
        <charset val="134"/>
      </rPr>
      <t>个数</t>
    </r>
    <phoneticPr fontId="10" type="noConversion"/>
  </si>
  <si>
    <r>
      <t>FTR</t>
    </r>
    <r>
      <rPr>
        <sz val="10"/>
        <rFont val="宋体"/>
        <family val="3"/>
        <charset val="134"/>
      </rPr>
      <t>个数</t>
    </r>
    <phoneticPr fontId="10" type="noConversion"/>
  </si>
  <si>
    <t>输入列表</t>
    <phoneticPr fontId="10" type="noConversion"/>
  </si>
  <si>
    <t>高</t>
    <phoneticPr fontId="10" type="noConversion"/>
  </si>
  <si>
    <t>备注</t>
    <phoneticPr fontId="10" type="noConversion"/>
  </si>
  <si>
    <t>输入列表</t>
    <phoneticPr fontId="10" type="noConversion"/>
  </si>
  <si>
    <t>备注</t>
    <phoneticPr fontId="10" type="noConversion"/>
  </si>
  <si>
    <t>复杂度</t>
    <phoneticPr fontId="10" type="noConversion"/>
  </si>
  <si>
    <t>输出列表</t>
    <phoneticPr fontId="10" type="noConversion"/>
  </si>
  <si>
    <t>高</t>
    <phoneticPr fontId="10" type="noConversion"/>
  </si>
  <si>
    <t>备注</t>
    <phoneticPr fontId="10" type="noConversion"/>
  </si>
  <si>
    <t xml:space="preserve"> 输出列表</t>
    <phoneticPr fontId="10" type="noConversion"/>
  </si>
  <si>
    <t>外部查询 (EQs)</t>
    <phoneticPr fontId="10" type="noConversion"/>
  </si>
  <si>
    <t xml:space="preserve">复杂度 </t>
    <phoneticPr fontId="10" type="noConversion"/>
  </si>
  <si>
    <t>输出端</t>
    <phoneticPr fontId="10" type="noConversion"/>
  </si>
  <si>
    <t>输入端</t>
    <phoneticPr fontId="10" type="noConversion"/>
  </si>
  <si>
    <t>FTR个数</t>
    <phoneticPr fontId="10" type="noConversion"/>
  </si>
  <si>
    <t>DET个数</t>
    <phoneticPr fontId="10" type="noConversion"/>
  </si>
  <si>
    <t>FTR个数</t>
    <phoneticPr fontId="10" type="noConversion"/>
  </si>
  <si>
    <t>DET个数</t>
    <phoneticPr fontId="10" type="noConversion"/>
  </si>
  <si>
    <t xml:space="preserve"> </t>
    <phoneticPr fontId="10" type="noConversion"/>
  </si>
  <si>
    <t>外部输出 (EOs)</t>
    <phoneticPr fontId="10" type="noConversion"/>
  </si>
  <si>
    <t>外部输入 (EIs)</t>
    <phoneticPr fontId="10" type="noConversion"/>
  </si>
  <si>
    <r>
      <rPr>
        <sz val="14"/>
        <rFont val="微软雅黑"/>
        <family val="2"/>
        <charset val="134"/>
      </rPr>
      <t>外部接口文件 (EIFs)</t>
    </r>
    <phoneticPr fontId="10" type="noConversion"/>
  </si>
  <si>
    <t>项目所需工时</t>
    <phoneticPr fontId="10" type="noConversion"/>
  </si>
  <si>
    <t>TCF表中获取</t>
    <phoneticPr fontId="10" type="noConversion"/>
  </si>
  <si>
    <r>
      <t>Copyright</t>
    </r>
    <r>
      <rPr>
        <sz val="11"/>
        <color theme="1"/>
        <rFont val="微软雅黑"/>
        <family val="2"/>
        <charset val="134"/>
      </rPr>
      <t>© 2015 李灯举Kevin Lee.All rights reserved</t>
    </r>
    <phoneticPr fontId="23" type="noConversion"/>
  </si>
  <si>
    <t>总影响度 (TDI)</t>
    <phoneticPr fontId="10" type="noConversion"/>
  </si>
  <si>
    <t>工时价格</t>
    <phoneticPr fontId="10" type="noConversion"/>
  </si>
  <si>
    <t>价格/工时</t>
    <phoneticPr fontId="10" type="noConversion"/>
  </si>
  <si>
    <t>项目成本</t>
    <phoneticPr fontId="10" type="noConversion"/>
  </si>
  <si>
    <t>成本</t>
    <phoneticPr fontId="10" type="noConversion"/>
  </si>
  <si>
    <t>使用说明</t>
    <phoneticPr fontId="10" type="noConversion"/>
  </si>
  <si>
    <r>
      <t>D</t>
    </r>
    <r>
      <rPr>
        <sz val="11"/>
        <rFont val="微软雅黑"/>
        <family val="2"/>
        <charset val="134"/>
      </rPr>
      <t>ET个数</t>
    </r>
    <phoneticPr fontId="10" type="noConversion"/>
  </si>
  <si>
    <r>
      <t>F</t>
    </r>
    <r>
      <rPr>
        <sz val="11"/>
        <rFont val="微软雅黑"/>
        <family val="2"/>
        <charset val="134"/>
      </rPr>
      <t>TR个数</t>
    </r>
    <phoneticPr fontId="10" type="noConversion"/>
  </si>
  <si>
    <t>FPs表中获取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</si>
</sst>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General_)"/>
  </numFmts>
  <fonts count="25" x14ac:knownFonts="1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i/>
      <sz val="9"/>
      <name val="Arial"/>
      <family val="2"/>
    </font>
    <font>
      <sz val="10"/>
      <name val="Arial Rounded MT Bold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4"/>
      <color rgb="FF006100"/>
      <name val="微软雅黑"/>
      <family val="2"/>
      <charset val="134"/>
    </font>
    <font>
      <sz val="16"/>
      <color rgb="FF006100"/>
      <name val="微软雅黑"/>
      <family val="2"/>
      <charset val="134"/>
    </font>
    <font>
      <sz val="9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4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76" fontId="8" fillId="0" borderId="0">
      <alignment vertical="top" wrapText="1"/>
    </xf>
    <xf numFmtId="176" fontId="4" fillId="2" borderId="1" applyBorder="0">
      <alignment horizontal="centerContinuous" vertical="center"/>
    </xf>
    <xf numFmtId="176" fontId="6" fillId="2" borderId="2" applyNumberFormat="0" applyBorder="0">
      <alignment horizontal="left"/>
    </xf>
    <xf numFmtId="0" fontId="5" fillId="0" borderId="0"/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Border="1"/>
    <xf numFmtId="0" fontId="5" fillId="0" borderId="0" xfId="0" applyFont="1"/>
    <xf numFmtId="0" fontId="5" fillId="0" borderId="0" xfId="0" applyFont="1" applyAlignment="1">
      <alignment horizontal="center"/>
    </xf>
    <xf numFmtId="176" fontId="3" fillId="0" borderId="0" xfId="1" applyFont="1">
      <alignment vertical="top" wrapText="1"/>
    </xf>
    <xf numFmtId="176" fontId="8" fillId="0" borderId="0" xfId="1" applyFont="1" applyAlignment="1">
      <alignment vertical="center" wrapText="1"/>
    </xf>
    <xf numFmtId="0" fontId="5" fillId="0" borderId="0" xfId="0" applyFont="1" applyBorder="1"/>
    <xf numFmtId="176" fontId="4" fillId="0" borderId="4" xfId="2" applyFill="1" applyBorder="1">
      <alignment horizontal="centerContinuous" vertical="center"/>
    </xf>
    <xf numFmtId="0" fontId="5" fillId="0" borderId="0" xfId="0" applyFont="1" applyFill="1"/>
    <xf numFmtId="0" fontId="5" fillId="0" borderId="0" xfId="4"/>
    <xf numFmtId="0" fontId="5" fillId="3" borderId="8" xfId="4" applyFill="1" applyBorder="1"/>
    <xf numFmtId="0" fontId="6" fillId="4" borderId="8" xfId="4" applyFont="1" applyFill="1" applyBorder="1"/>
    <xf numFmtId="176" fontId="3" fillId="0" borderId="8" xfId="1" applyFont="1" applyBorder="1">
      <alignment vertical="top" wrapText="1"/>
    </xf>
    <xf numFmtId="49" fontId="9" fillId="0" borderId="8" xfId="1" applyNumberFormat="1" applyFont="1" applyBorder="1" applyAlignment="1">
      <alignment horizontal="center" vertical="center" wrapText="1"/>
    </xf>
    <xf numFmtId="176" fontId="18" fillId="0" borderId="8" xfId="1" applyFont="1" applyBorder="1" applyAlignment="1">
      <alignment vertical="center" wrapText="1"/>
    </xf>
    <xf numFmtId="176" fontId="18" fillId="0" borderId="8" xfId="1" applyFont="1" applyBorder="1" applyAlignment="1">
      <alignment vertical="center"/>
    </xf>
    <xf numFmtId="0" fontId="19" fillId="12" borderId="8" xfId="12" applyFont="1" applyBorder="1" applyAlignment="1"/>
    <xf numFmtId="0" fontId="20" fillId="0" borderId="0" xfId="0" applyFont="1"/>
    <xf numFmtId="0" fontId="19" fillId="11" borderId="8" xfId="11" applyFont="1" applyBorder="1" applyAlignment="1">
      <alignment horizontal="left"/>
    </xf>
    <xf numFmtId="0" fontId="19" fillId="10" borderId="8" xfId="10" applyFont="1" applyBorder="1" applyAlignment="1"/>
    <xf numFmtId="0" fontId="19" fillId="10" borderId="8" xfId="10" applyFont="1" applyBorder="1" applyAlignment="1">
      <alignment horizontal="center"/>
    </xf>
    <xf numFmtId="1" fontId="19" fillId="10" borderId="8" xfId="10" applyNumberFormat="1" applyFont="1" applyBorder="1" applyAlignment="1">
      <alignment horizontal="center"/>
    </xf>
    <xf numFmtId="1" fontId="19" fillId="10" borderId="8" xfId="10" applyNumberFormat="1" applyFont="1" applyBorder="1" applyAlignment="1"/>
    <xf numFmtId="0" fontId="19" fillId="10" borderId="8" xfId="10" applyFont="1" applyBorder="1" applyAlignment="1" applyProtection="1"/>
    <xf numFmtId="0" fontId="2" fillId="11" borderId="8" xfId="11" applyBorder="1" applyAlignment="1">
      <alignment horizontal="center"/>
    </xf>
    <xf numFmtId="1" fontId="2" fillId="11" borderId="8" xfId="11" applyNumberFormat="1" applyBorder="1" applyAlignment="1">
      <alignment horizontal="center"/>
    </xf>
    <xf numFmtId="1" fontId="2" fillId="9" borderId="13" xfId="9" applyNumberFormat="1" applyBorder="1" applyAlignment="1">
      <alignment horizontal="center" vertical="center"/>
    </xf>
    <xf numFmtId="0" fontId="19" fillId="8" borderId="13" xfId="8" applyFont="1" applyBorder="1" applyAlignment="1">
      <alignment horizontal="center" vertical="center"/>
    </xf>
    <xf numFmtId="0" fontId="2" fillId="9" borderId="13" xfId="9" applyBorder="1" applyAlignment="1">
      <alignment horizontal="center" vertical="center"/>
    </xf>
    <xf numFmtId="0" fontId="19" fillId="10" borderId="9" xfId="10" applyFont="1" applyBorder="1" applyAlignment="1">
      <alignment horizontal="center" vertical="center"/>
    </xf>
    <xf numFmtId="0" fontId="19" fillId="10" borderId="8" xfId="10" applyFont="1" applyBorder="1" applyAlignment="1">
      <alignment horizontal="center" vertical="center"/>
    </xf>
    <xf numFmtId="0" fontId="19" fillId="11" borderId="8" xfId="11" applyFont="1" applyBorder="1" applyAlignment="1">
      <alignment horizontal="left" vertical="center"/>
    </xf>
    <xf numFmtId="0" fontId="19" fillId="11" borderId="8" xfId="11" applyFont="1" applyBorder="1" applyAlignment="1" applyProtection="1">
      <alignment horizontal="center" vertical="center" wrapText="1"/>
    </xf>
    <xf numFmtId="1" fontId="19" fillId="7" borderId="8" xfId="7" applyNumberFormat="1" applyFont="1" applyBorder="1" applyAlignment="1">
      <alignment horizontal="center" vertical="center"/>
    </xf>
    <xf numFmtId="0" fontId="19" fillId="11" borderId="18" xfId="11" applyFont="1" applyBorder="1" applyAlignment="1" applyProtection="1">
      <alignment horizontal="center" vertical="center"/>
    </xf>
    <xf numFmtId="49" fontId="19" fillId="11" borderId="17" xfId="11" applyNumberFormat="1" applyFont="1" applyBorder="1" applyAlignment="1">
      <alignment horizontal="left" vertical="center"/>
    </xf>
    <xf numFmtId="0" fontId="21" fillId="7" borderId="18" xfId="7" applyFont="1" applyBorder="1" applyAlignment="1">
      <alignment vertical="center" wrapText="1"/>
    </xf>
    <xf numFmtId="2" fontId="19" fillId="7" borderId="20" xfId="7" applyNumberFormat="1" applyFont="1" applyBorder="1" applyAlignment="1">
      <alignment horizontal="center" vertical="center"/>
    </xf>
    <xf numFmtId="0" fontId="21" fillId="7" borderId="21" xfId="7" applyFont="1" applyBorder="1" applyAlignment="1">
      <alignment wrapText="1"/>
    </xf>
    <xf numFmtId="0" fontId="19" fillId="11" borderId="14" xfId="11" applyFont="1" applyBorder="1" applyAlignment="1"/>
    <xf numFmtId="0" fontId="19" fillId="11" borderId="15" xfId="11" applyFont="1" applyBorder="1" applyAlignment="1">
      <alignment horizontal="center" wrapText="1"/>
    </xf>
    <xf numFmtId="0" fontId="19" fillId="11" borderId="15" xfId="11" applyFont="1" applyBorder="1" applyAlignment="1">
      <alignment horizontal="center"/>
    </xf>
    <xf numFmtId="0" fontId="19" fillId="11" borderId="16" xfId="11" applyFont="1" applyBorder="1" applyAlignment="1">
      <alignment horizontal="center" wrapText="1"/>
    </xf>
    <xf numFmtId="0" fontId="19" fillId="7" borderId="19" xfId="7" applyFont="1" applyBorder="1" applyAlignment="1">
      <alignment horizontal="centerContinuous" wrapText="1"/>
    </xf>
    <xf numFmtId="0" fontId="19" fillId="7" borderId="20" xfId="7" applyFont="1" applyBorder="1" applyAlignment="1">
      <alignment horizontal="centerContinuous"/>
    </xf>
    <xf numFmtId="1" fontId="19" fillId="7" borderId="20" xfId="7" applyNumberFormat="1" applyFont="1" applyBorder="1" applyAlignment="1">
      <alignment horizontal="centerContinuous"/>
    </xf>
    <xf numFmtId="1" fontId="19" fillId="7" borderId="20" xfId="7" applyNumberFormat="1" applyFont="1" applyBorder="1" applyAlignment="1">
      <alignment horizontal="center"/>
    </xf>
    <xf numFmtId="9" fontId="19" fillId="7" borderId="21" xfId="7" applyNumberFormat="1" applyFont="1" applyBorder="1" applyAlignment="1">
      <alignment horizontal="center"/>
    </xf>
    <xf numFmtId="0" fontId="2" fillId="10" borderId="18" xfId="10" applyBorder="1" applyAlignment="1" applyProtection="1">
      <alignment wrapText="1"/>
      <protection locked="0"/>
    </xf>
    <xf numFmtId="1" fontId="2" fillId="10" borderId="8" xfId="10" applyNumberFormat="1" applyBorder="1" applyAlignment="1" applyProtection="1">
      <alignment horizontal="center" vertical="center"/>
      <protection locked="0"/>
    </xf>
    <xf numFmtId="0" fontId="19" fillId="11" borderId="8" xfId="11" applyFont="1" applyBorder="1" applyAlignment="1">
      <alignment horizontal="center"/>
    </xf>
    <xf numFmtId="0" fontId="19" fillId="11" borderId="8" xfId="11" applyFont="1" applyBorder="1" applyAlignment="1">
      <alignment horizontal="center" wrapText="1"/>
    </xf>
    <xf numFmtId="0" fontId="19" fillId="10" borderId="8" xfId="10" applyNumberFormat="1" applyFont="1" applyBorder="1" applyAlignment="1" applyProtection="1">
      <alignment horizontal="center" vertical="top"/>
      <protection locked="0"/>
    </xf>
    <xf numFmtId="0" fontId="20" fillId="0" borderId="0" xfId="0" applyFont="1" applyBorder="1"/>
    <xf numFmtId="0" fontId="19" fillId="10" borderId="29" xfId="10" applyNumberFormat="1" applyFont="1" applyBorder="1" applyAlignment="1" applyProtection="1">
      <alignment horizontal="center" vertical="top"/>
      <protection locked="0"/>
    </xf>
    <xf numFmtId="1" fontId="2" fillId="11" borderId="8" xfId="11" applyNumberFormat="1" applyBorder="1" applyAlignment="1" applyProtection="1">
      <alignment horizontal="center" vertical="top"/>
    </xf>
    <xf numFmtId="0" fontId="19" fillId="10" borderId="17" xfId="10" applyFont="1" applyBorder="1" applyAlignment="1" applyProtection="1">
      <alignment vertical="top" wrapText="1"/>
      <protection locked="0"/>
    </xf>
    <xf numFmtId="0" fontId="19" fillId="10" borderId="18" xfId="10" applyFont="1" applyBorder="1" applyAlignment="1" applyProtection="1">
      <alignment vertical="top" wrapText="1"/>
      <protection locked="0"/>
    </xf>
    <xf numFmtId="0" fontId="19" fillId="7" borderId="19" xfId="7" applyFont="1" applyBorder="1" applyAlignment="1"/>
    <xf numFmtId="0" fontId="19" fillId="7" borderId="21" xfId="7" applyFont="1" applyBorder="1" applyAlignment="1"/>
    <xf numFmtId="0" fontId="19" fillId="10" borderId="30" xfId="10" applyFont="1" applyBorder="1" applyAlignment="1" applyProtection="1">
      <alignment vertical="top" wrapText="1"/>
      <protection locked="0"/>
    </xf>
    <xf numFmtId="1" fontId="2" fillId="11" borderId="29" xfId="11" applyNumberFormat="1" applyBorder="1" applyAlignment="1" applyProtection="1">
      <alignment horizontal="center" vertical="top"/>
    </xf>
    <xf numFmtId="0" fontId="19" fillId="10" borderId="27" xfId="10" applyFont="1" applyBorder="1" applyAlignment="1" applyProtection="1">
      <alignment vertical="top" wrapText="1"/>
      <protection locked="0"/>
    </xf>
    <xf numFmtId="0" fontId="19" fillId="7" borderId="22" xfId="7" applyFont="1" applyBorder="1" applyAlignment="1"/>
    <xf numFmtId="1" fontId="19" fillId="7" borderId="23" xfId="7" applyNumberFormat="1" applyFont="1" applyBorder="1" applyAlignment="1">
      <alignment horizontal="center"/>
    </xf>
    <xf numFmtId="0" fontId="19" fillId="7" borderId="24" xfId="7" applyFont="1" applyBorder="1" applyAlignment="1"/>
    <xf numFmtId="0" fontId="19" fillId="11" borderId="28" xfId="11" applyFont="1" applyBorder="1" applyAlignment="1">
      <alignment horizontal="center"/>
    </xf>
    <xf numFmtId="0" fontId="0" fillId="0" borderId="8" xfId="0" applyBorder="1"/>
    <xf numFmtId="0" fontId="19" fillId="11" borderId="10" xfId="11" applyFont="1" applyBorder="1" applyAlignment="1">
      <alignment horizontal="center" wrapText="1"/>
    </xf>
    <xf numFmtId="0" fontId="19" fillId="10" borderId="8" xfId="10" applyFont="1" applyBorder="1" applyAlignment="1" applyProtection="1">
      <alignment horizontal="center" vertical="top"/>
      <protection locked="0"/>
    </xf>
    <xf numFmtId="0" fontId="19" fillId="11" borderId="8" xfId="11" applyFont="1" applyBorder="1" applyAlignment="1" applyProtection="1">
      <alignment horizontal="center" vertical="top"/>
    </xf>
    <xf numFmtId="0" fontId="19" fillId="10" borderId="8" xfId="10" applyFont="1" applyBorder="1" applyAlignment="1" applyProtection="1">
      <alignment horizontal="center" vertical="top"/>
    </xf>
    <xf numFmtId="0" fontId="19" fillId="10" borderId="29" xfId="10" applyFont="1" applyBorder="1" applyAlignment="1" applyProtection="1">
      <alignment horizontal="center" vertical="top"/>
      <protection locked="0"/>
    </xf>
    <xf numFmtId="0" fontId="19" fillId="11" borderId="29" xfId="11" applyFont="1" applyBorder="1" applyAlignment="1" applyProtection="1">
      <alignment horizontal="center" vertical="top"/>
    </xf>
    <xf numFmtId="0" fontId="19" fillId="10" borderId="29" xfId="10" applyFont="1" applyBorder="1" applyAlignment="1" applyProtection="1">
      <alignment horizontal="center" vertical="top"/>
    </xf>
    <xf numFmtId="0" fontId="19" fillId="7" borderId="20" xfId="7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1" fillId="14" borderId="8" xfId="14" applyBorder="1" applyAlignment="1" applyProtection="1">
      <alignment horizontal="center"/>
      <protection locked="0"/>
    </xf>
    <xf numFmtId="1" fontId="1" fillId="14" borderId="8" xfId="14" applyNumberFormat="1" applyBorder="1" applyAlignment="1" applyProtection="1">
      <alignment horizontal="center"/>
      <protection locked="0"/>
    </xf>
    <xf numFmtId="0" fontId="1" fillId="14" borderId="13" xfId="14" applyBorder="1" applyAlignment="1" applyProtection="1">
      <alignment horizontal="center" vertical="center"/>
      <protection locked="0"/>
    </xf>
    <xf numFmtId="176" fontId="17" fillId="5" borderId="39" xfId="5" applyNumberFormat="1" applyFont="1" applyBorder="1" applyAlignment="1">
      <alignment horizontal="center" vertical="center"/>
    </xf>
    <xf numFmtId="176" fontId="17" fillId="5" borderId="40" xfId="5" applyNumberFormat="1" applyFont="1" applyBorder="1" applyAlignment="1">
      <alignment horizontal="center" vertical="center"/>
    </xf>
    <xf numFmtId="176" fontId="8" fillId="0" borderId="8" xfId="1" applyFont="1" applyBorder="1" applyAlignment="1">
      <alignment horizontal="center" vertical="center" wrapText="1"/>
    </xf>
    <xf numFmtId="0" fontId="15" fillId="6" borderId="9" xfId="6" applyBorder="1" applyAlignment="1">
      <alignment horizontal="center" vertical="center"/>
    </xf>
    <xf numFmtId="0" fontId="15" fillId="6" borderId="10" xfId="6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176" fontId="17" fillId="5" borderId="6" xfId="5" applyNumberFormat="1" applyFont="1" applyBorder="1" applyAlignment="1">
      <alignment horizontal="center" vertical="center"/>
    </xf>
    <xf numFmtId="176" fontId="17" fillId="5" borderId="4" xfId="5" applyNumberFormat="1" applyFont="1" applyBorder="1" applyAlignment="1">
      <alignment horizontal="center" vertical="center"/>
    </xf>
    <xf numFmtId="176" fontId="17" fillId="5" borderId="5" xfId="5" applyNumberFormat="1" applyFont="1" applyBorder="1" applyAlignment="1">
      <alignment horizontal="center" vertical="center"/>
    </xf>
    <xf numFmtId="0" fontId="19" fillId="13" borderId="9" xfId="13" applyFont="1" applyBorder="1" applyAlignment="1">
      <alignment horizontal="center"/>
    </xf>
    <xf numFmtId="0" fontId="19" fillId="13" borderId="11" xfId="13" applyFont="1" applyBorder="1" applyAlignment="1">
      <alignment horizontal="center"/>
    </xf>
    <xf numFmtId="0" fontId="19" fillId="13" borderId="10" xfId="13" applyFont="1" applyBorder="1" applyAlignment="1">
      <alignment horizontal="center"/>
    </xf>
    <xf numFmtId="176" fontId="19" fillId="9" borderId="8" xfId="9" applyNumberFormat="1" applyFont="1" applyBorder="1" applyAlignment="1">
      <alignment horizontal="center" vertical="center"/>
    </xf>
    <xf numFmtId="0" fontId="19" fillId="12" borderId="8" xfId="12" applyFont="1" applyBorder="1" applyAlignment="1" applyProtection="1">
      <alignment horizontal="center"/>
      <protection locked="0"/>
    </xf>
    <xf numFmtId="0" fontId="19" fillId="7" borderId="19" xfId="7" applyFont="1" applyBorder="1" applyAlignment="1">
      <alignment horizontal="left"/>
    </xf>
    <xf numFmtId="0" fontId="19" fillId="7" borderId="20" xfId="7" applyFont="1" applyBorder="1" applyAlignment="1">
      <alignment horizontal="left"/>
    </xf>
    <xf numFmtId="0" fontId="19" fillId="7" borderId="17" xfId="7" applyFont="1" applyBorder="1" applyAlignment="1">
      <alignment horizontal="left"/>
    </xf>
    <xf numFmtId="0" fontId="19" fillId="7" borderId="8" xfId="7" applyFont="1" applyBorder="1" applyAlignment="1">
      <alignment horizontal="left"/>
    </xf>
    <xf numFmtId="176" fontId="16" fillId="5" borderId="14" xfId="5" applyNumberFormat="1" applyFont="1" applyBorder="1" applyAlignment="1">
      <alignment horizontal="center" vertical="center"/>
    </xf>
    <xf numFmtId="176" fontId="16" fillId="5" borderId="15" xfId="5" applyNumberFormat="1" applyFont="1" applyBorder="1" applyAlignment="1">
      <alignment horizontal="center" vertical="center"/>
    </xf>
    <xf numFmtId="176" fontId="16" fillId="5" borderId="16" xfId="5" applyNumberFormat="1" applyFont="1" applyBorder="1" applyAlignment="1">
      <alignment horizontal="center" vertical="center"/>
    </xf>
    <xf numFmtId="0" fontId="19" fillId="11" borderId="17" xfId="11" applyFont="1" applyBorder="1" applyAlignment="1" applyProtection="1">
      <alignment horizontal="center" vertical="center"/>
    </xf>
    <xf numFmtId="0" fontId="19" fillId="11" borderId="8" xfId="11" applyFont="1" applyBorder="1" applyAlignment="1" applyProtection="1">
      <alignment horizontal="center" vertical="center"/>
    </xf>
    <xf numFmtId="9" fontId="19" fillId="10" borderId="25" xfId="10" applyNumberFormat="1" applyFont="1" applyBorder="1" applyAlignment="1">
      <alignment horizontal="center" vertical="center"/>
    </xf>
    <xf numFmtId="9" fontId="19" fillId="10" borderId="26" xfId="10" applyNumberFormat="1" applyFont="1" applyBorder="1" applyAlignment="1">
      <alignment horizontal="center" vertical="center"/>
    </xf>
    <xf numFmtId="9" fontId="19" fillId="10" borderId="27" xfId="10" applyNumberFormat="1" applyFont="1" applyBorder="1" applyAlignment="1">
      <alignment horizontal="center" vertical="center"/>
    </xf>
    <xf numFmtId="176" fontId="16" fillId="5" borderId="22" xfId="5" applyNumberFormat="1" applyFont="1" applyBorder="1" applyAlignment="1">
      <alignment horizontal="center" vertical="center"/>
    </xf>
    <xf numFmtId="176" fontId="16" fillId="5" borderId="23" xfId="5" applyNumberFormat="1" applyFont="1" applyBorder="1" applyAlignment="1">
      <alignment horizontal="center" vertical="center"/>
    </xf>
    <xf numFmtId="176" fontId="16" fillId="5" borderId="24" xfId="5" applyNumberFormat="1" applyFont="1" applyBorder="1" applyAlignment="1">
      <alignment horizontal="center" vertical="center"/>
    </xf>
    <xf numFmtId="0" fontId="19" fillId="10" borderId="17" xfId="1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9" fillId="11" borderId="36" xfId="11" applyFont="1" applyBorder="1" applyAlignment="1">
      <alignment horizontal="center" wrapText="1"/>
    </xf>
    <xf numFmtId="0" fontId="19" fillId="11" borderId="29" xfId="11" applyFont="1" applyBorder="1" applyAlignment="1">
      <alignment horizontal="center" wrapText="1"/>
    </xf>
    <xf numFmtId="176" fontId="16" fillId="5" borderId="2" xfId="5" applyNumberFormat="1" applyFont="1" applyBorder="1" applyAlignment="1">
      <alignment horizontal="center" vertical="center"/>
    </xf>
    <xf numFmtId="176" fontId="16" fillId="5" borderId="1" xfId="5" applyNumberFormat="1" applyFont="1" applyBorder="1" applyAlignment="1">
      <alignment horizontal="center" vertical="center"/>
    </xf>
    <xf numFmtId="176" fontId="16" fillId="5" borderId="3" xfId="5" applyNumberFormat="1" applyFont="1" applyBorder="1" applyAlignment="1">
      <alignment horizontal="center" vertical="center"/>
    </xf>
    <xf numFmtId="0" fontId="19" fillId="11" borderId="35" xfId="11" applyFont="1" applyBorder="1" applyAlignment="1">
      <alignment horizontal="center" vertical="center"/>
    </xf>
    <xf numFmtId="0" fontId="19" fillId="11" borderId="30" xfId="11" applyFont="1" applyBorder="1" applyAlignment="1">
      <alignment horizontal="center" vertical="center"/>
    </xf>
    <xf numFmtId="0" fontId="19" fillId="11" borderId="34" xfId="11" applyFont="1" applyBorder="1" applyAlignment="1">
      <alignment horizontal="center" vertical="center"/>
    </xf>
    <xf numFmtId="0" fontId="19" fillId="11" borderId="27" xfId="11" applyFont="1" applyBorder="1" applyAlignment="1">
      <alignment horizontal="center" vertical="center"/>
    </xf>
    <xf numFmtId="0" fontId="20" fillId="0" borderId="4" xfId="0" applyFont="1" applyBorder="1" applyAlignment="1">
      <alignment horizontal="center"/>
    </xf>
    <xf numFmtId="0" fontId="19" fillId="11" borderId="37" xfId="11" applyFont="1" applyBorder="1" applyAlignment="1">
      <alignment horizontal="center" vertical="center"/>
    </xf>
    <xf numFmtId="0" fontId="19" fillId="11" borderId="26" xfId="11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76" fontId="22" fillId="5" borderId="2" xfId="5" applyNumberFormat="1" applyFont="1" applyBorder="1" applyAlignment="1">
      <alignment horizontal="center" vertical="center"/>
    </xf>
    <xf numFmtId="0" fontId="19" fillId="11" borderId="36" xfId="11" applyFont="1" applyBorder="1" applyAlignment="1">
      <alignment horizontal="center" vertical="center" wrapText="1"/>
    </xf>
    <xf numFmtId="0" fontId="19" fillId="11" borderId="29" xfId="11" applyFont="1" applyBorder="1" applyAlignment="1">
      <alignment horizontal="center" vertical="center" wrapText="1"/>
    </xf>
    <xf numFmtId="0" fontId="19" fillId="11" borderId="32" xfId="11" applyFont="1" applyBorder="1" applyAlignment="1">
      <alignment horizontal="center"/>
    </xf>
    <xf numFmtId="0" fontId="19" fillId="11" borderId="12" xfId="11" applyFont="1" applyBorder="1" applyAlignment="1">
      <alignment horizontal="center"/>
    </xf>
    <xf numFmtId="0" fontId="19" fillId="11" borderId="31" xfId="11" applyFont="1" applyBorder="1" applyAlignment="1">
      <alignment horizontal="center"/>
    </xf>
    <xf numFmtId="0" fontId="19" fillId="11" borderId="33" xfId="11" applyFont="1" applyBorder="1" applyAlignment="1">
      <alignment horizontal="center"/>
    </xf>
    <xf numFmtId="0" fontId="19" fillId="11" borderId="7" xfId="11" applyFont="1" applyBorder="1" applyAlignment="1">
      <alignment horizontal="center" vertical="center"/>
    </xf>
    <xf numFmtId="0" fontId="19" fillId="11" borderId="38" xfId="11" applyFont="1" applyBorder="1" applyAlignment="1">
      <alignment horizontal="center" vertical="center"/>
    </xf>
    <xf numFmtId="0" fontId="19" fillId="11" borderId="34" xfId="11" applyFont="1" applyBorder="1" applyAlignment="1">
      <alignment horizontal="center" vertical="center" wrapText="1"/>
    </xf>
    <xf numFmtId="0" fontId="19" fillId="11" borderId="27" xfId="11" applyFont="1" applyBorder="1" applyAlignment="1">
      <alignment horizontal="center" vertical="center" wrapText="1"/>
    </xf>
  </cellXfs>
  <cellStyles count="15">
    <cellStyle name="20% - 着色 4" xfId="8" builtinId="42"/>
    <cellStyle name="20% - 着色 5" xfId="10" builtinId="46"/>
    <cellStyle name="20% - 着色 6" xfId="12" builtinId="50"/>
    <cellStyle name="40% - 着色 2" xfId="14" builtinId="35"/>
    <cellStyle name="40% - 着色 3" xfId="7" builtinId="39"/>
    <cellStyle name="40% - 着色 4" xfId="9" builtinId="43"/>
    <cellStyle name="40% - 着色 5" xfId="11" builtinId="47"/>
    <cellStyle name="40% - 着色 6" xfId="13" builtinId="51"/>
    <cellStyle name="Instructions" xfId="1"/>
    <cellStyle name="Sheet Heading" xfId="2"/>
    <cellStyle name="Total Row" xfId="3"/>
    <cellStyle name="常规" xfId="0" builtinId="0"/>
    <cellStyle name="常规 2" xfId="4"/>
    <cellStyle name="好" xfId="5" builtinId="26"/>
    <cellStyle name="适中" xfId="6" builtinId="2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UFC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FPs!$E$3</c:f>
              <c:strCache>
                <c:ptCount val="1"/>
                <c:pt idx="0">
                  <c:v>功能点数 (FPs)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FPs!$A$4:$B$18</c:f>
              <c:multiLvlStrCache>
                <c:ptCount val="15"/>
                <c:lvl>
                  <c:pt idx="0">
                    <c:v>低</c:v>
                  </c:pt>
                  <c:pt idx="1">
                    <c:v>中</c:v>
                  </c:pt>
                  <c:pt idx="2">
                    <c:v>高</c:v>
                  </c:pt>
                  <c:pt idx="3">
                    <c:v>低</c:v>
                  </c:pt>
                  <c:pt idx="4">
                    <c:v>中</c:v>
                  </c:pt>
                  <c:pt idx="5">
                    <c:v>高</c:v>
                  </c:pt>
                  <c:pt idx="6">
                    <c:v>低</c:v>
                  </c:pt>
                  <c:pt idx="7">
                    <c:v>中</c:v>
                  </c:pt>
                  <c:pt idx="8">
                    <c:v>高</c:v>
                  </c:pt>
                  <c:pt idx="9">
                    <c:v>低</c:v>
                  </c:pt>
                  <c:pt idx="10">
                    <c:v>中</c:v>
                  </c:pt>
                  <c:pt idx="11">
                    <c:v>高</c:v>
                  </c:pt>
                  <c:pt idx="12">
                    <c:v>低</c:v>
                  </c:pt>
                  <c:pt idx="13">
                    <c:v>中</c:v>
                  </c:pt>
                  <c:pt idx="14">
                    <c:v>高</c:v>
                  </c:pt>
                </c:lvl>
                <c:lvl>
                  <c:pt idx="0">
                    <c:v>内部逻辑文件 (ILFs)</c:v>
                  </c:pt>
                  <c:pt idx="3">
                    <c:v>外部接口文件(EIFs)</c:v>
                  </c:pt>
                  <c:pt idx="6">
                    <c:v>外部输入 (EIs)</c:v>
                  </c:pt>
                  <c:pt idx="9">
                    <c:v>外部输出 (EOs)</c:v>
                  </c:pt>
                  <c:pt idx="12">
                    <c:v>外部查询 (EQs)</c:v>
                  </c:pt>
                </c:lvl>
              </c:multiLvlStrCache>
            </c:multiLvlStrRef>
          </c:cat>
          <c:val>
            <c:numRef>
              <c:f>FPs!$E$4:$E$18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5-4380-B778-34CBA83B1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11201455"/>
        <c:axId val="1"/>
      </c:barChart>
      <c:catAx>
        <c:axId val="191120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20145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FPs!$F$3</c:f>
              <c:strCache>
                <c:ptCount val="1"/>
                <c:pt idx="0">
                  <c:v>FP %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7199-4D14-9D42-81EAF4E616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199-4D14-9D42-81EAF4E616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199-4D14-9D42-81EAF4E616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199-4D14-9D42-81EAF4E616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7199-4D14-9D42-81EAF4E616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7199-4D14-9D42-81EAF4E616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FPs!$A$4:$A$18</c15:sqref>
                  </c15:fullRef>
                </c:ext>
              </c:extLst>
              <c:f>(FPs!$A$4,FPs!$A$7,FPs!$A$10,FPs!$A$13,FPs!$A$16,FPs!$A$18)</c:f>
              <c:strCache>
                <c:ptCount val="5"/>
                <c:pt idx="0">
                  <c:v>内部逻辑文件 (ILFs)</c:v>
                </c:pt>
                <c:pt idx="1">
                  <c:v>外部接口文件(EIFs)</c:v>
                </c:pt>
                <c:pt idx="2">
                  <c:v>外部输入 (EIs)</c:v>
                </c:pt>
                <c:pt idx="3">
                  <c:v>外部输出 (EOs)</c:v>
                </c:pt>
                <c:pt idx="4">
                  <c:v>外部查询 (EQs)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FPs!$F$4:$F$17</c15:sqref>
                  </c15:fullRef>
                </c:ext>
              </c:extLst>
              <c:f>(FPs!$F$4,FPs!$F$7,FPs!$F$10,FPs!$F$13,FPs!$F$16)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FPs!$F$5</c15:sqref>
                  <c15:spPr xmlns:c15="http://schemas.microsoft.com/office/drawing/2012/chart"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FPs!$F$6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FPs!$F$8</c15:sqref>
                  <c15:spPr xmlns:c15="http://schemas.microsoft.com/office/drawing/2012/chart"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FPs!$F$9</c15:sqref>
                  <c15:spPr xmlns:c15="http://schemas.microsoft.com/office/drawing/2012/chart"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FPs!$F$11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FPs!$F$12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FPs!$F$14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FPs!$F$15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FPs!$F$17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F-7199-4D14-9D42-81EAF4E616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3</xdr:row>
      <xdr:rowOff>95250</xdr:rowOff>
    </xdr:from>
    <xdr:to>
      <xdr:col>1</xdr:col>
      <xdr:colOff>1628775</xdr:colOff>
      <xdr:row>3</xdr:row>
      <xdr:rowOff>342900</xdr:rowOff>
    </xdr:to>
    <xdr:sp macro="" textlink="">
      <xdr:nvSpPr>
        <xdr:cNvPr id="2" name="圆角矩形 1"/>
        <xdr:cNvSpPr/>
      </xdr:nvSpPr>
      <xdr:spPr>
        <a:xfrm>
          <a:off x="1362075" y="695325"/>
          <a:ext cx="1247775" cy="2476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介绍</a:t>
          </a:r>
        </a:p>
      </xdr:txBody>
    </xdr:sp>
    <xdr:clientData/>
  </xdr:twoCellAnchor>
  <xdr:twoCellAnchor>
    <xdr:from>
      <xdr:col>0</xdr:col>
      <xdr:colOff>219075</xdr:colOff>
      <xdr:row>5</xdr:row>
      <xdr:rowOff>47625</xdr:rowOff>
    </xdr:from>
    <xdr:to>
      <xdr:col>0</xdr:col>
      <xdr:colOff>704850</xdr:colOff>
      <xdr:row>5</xdr:row>
      <xdr:rowOff>276225</xdr:rowOff>
    </xdr:to>
    <xdr:sp macro="[0]!Start" textlink="">
      <xdr:nvSpPr>
        <xdr:cNvPr id="16" name="圆角矩形 15"/>
        <xdr:cNvSpPr/>
      </xdr:nvSpPr>
      <xdr:spPr>
        <a:xfrm>
          <a:off x="219075" y="14763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219075</xdr:colOff>
      <xdr:row>6</xdr:row>
      <xdr:rowOff>47625</xdr:rowOff>
    </xdr:from>
    <xdr:to>
      <xdr:col>0</xdr:col>
      <xdr:colOff>704850</xdr:colOff>
      <xdr:row>6</xdr:row>
      <xdr:rowOff>276225</xdr:rowOff>
    </xdr:to>
    <xdr:sp macro="" textlink="">
      <xdr:nvSpPr>
        <xdr:cNvPr id="17" name="圆角矩形 16"/>
        <xdr:cNvSpPr/>
      </xdr:nvSpPr>
      <xdr:spPr>
        <a:xfrm>
          <a:off x="219075" y="17907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219075</xdr:colOff>
      <xdr:row>7</xdr:row>
      <xdr:rowOff>57150</xdr:rowOff>
    </xdr:from>
    <xdr:to>
      <xdr:col>0</xdr:col>
      <xdr:colOff>704850</xdr:colOff>
      <xdr:row>7</xdr:row>
      <xdr:rowOff>285750</xdr:rowOff>
    </xdr:to>
    <xdr:sp macro="[0]!ToILF" textlink="">
      <xdr:nvSpPr>
        <xdr:cNvPr id="18" name="圆角矩形 17"/>
        <xdr:cNvSpPr/>
      </xdr:nvSpPr>
      <xdr:spPr>
        <a:xfrm>
          <a:off x="219075" y="195262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2.a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8</xdr:row>
      <xdr:rowOff>66675</xdr:rowOff>
    </xdr:from>
    <xdr:to>
      <xdr:col>0</xdr:col>
      <xdr:colOff>714375</xdr:colOff>
      <xdr:row>8</xdr:row>
      <xdr:rowOff>295275</xdr:rowOff>
    </xdr:to>
    <xdr:sp macro="[0]!ToEIF" textlink="">
      <xdr:nvSpPr>
        <xdr:cNvPr id="19" name="圆角矩形 18"/>
        <xdr:cNvSpPr/>
      </xdr:nvSpPr>
      <xdr:spPr>
        <a:xfrm>
          <a:off x="228600" y="22764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2.b</a:t>
          </a:r>
        </a:p>
      </xdr:txBody>
    </xdr:sp>
    <xdr:clientData/>
  </xdr:twoCellAnchor>
  <xdr:twoCellAnchor>
    <xdr:from>
      <xdr:col>0</xdr:col>
      <xdr:colOff>228600</xdr:colOff>
      <xdr:row>9</xdr:row>
      <xdr:rowOff>66675</xdr:rowOff>
    </xdr:from>
    <xdr:to>
      <xdr:col>0</xdr:col>
      <xdr:colOff>714375</xdr:colOff>
      <xdr:row>9</xdr:row>
      <xdr:rowOff>295275</xdr:rowOff>
    </xdr:to>
    <xdr:sp macro="[0]!ToEI" textlink="">
      <xdr:nvSpPr>
        <xdr:cNvPr id="20" name="圆角矩形 19"/>
        <xdr:cNvSpPr/>
      </xdr:nvSpPr>
      <xdr:spPr>
        <a:xfrm>
          <a:off x="228600" y="25908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2.c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10</xdr:row>
      <xdr:rowOff>47625</xdr:rowOff>
    </xdr:from>
    <xdr:to>
      <xdr:col>0</xdr:col>
      <xdr:colOff>723900</xdr:colOff>
      <xdr:row>10</xdr:row>
      <xdr:rowOff>276225</xdr:rowOff>
    </xdr:to>
    <xdr:sp macro="[0]!ToEO" textlink="">
      <xdr:nvSpPr>
        <xdr:cNvPr id="21" name="圆角矩形 20"/>
        <xdr:cNvSpPr/>
      </xdr:nvSpPr>
      <xdr:spPr>
        <a:xfrm>
          <a:off x="238125" y="28860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2.d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11</xdr:row>
      <xdr:rowOff>66675</xdr:rowOff>
    </xdr:from>
    <xdr:to>
      <xdr:col>0</xdr:col>
      <xdr:colOff>723900</xdr:colOff>
      <xdr:row>11</xdr:row>
      <xdr:rowOff>295275</xdr:rowOff>
    </xdr:to>
    <xdr:sp macro="[0]!ToEQ" textlink="">
      <xdr:nvSpPr>
        <xdr:cNvPr id="22" name="圆角矩形 21"/>
        <xdr:cNvSpPr/>
      </xdr:nvSpPr>
      <xdr:spPr>
        <a:xfrm>
          <a:off x="238125" y="321945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2.e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12</xdr:row>
      <xdr:rowOff>76200</xdr:rowOff>
    </xdr:from>
    <xdr:to>
      <xdr:col>0</xdr:col>
      <xdr:colOff>723900</xdr:colOff>
      <xdr:row>12</xdr:row>
      <xdr:rowOff>304800</xdr:rowOff>
    </xdr:to>
    <xdr:sp macro="[0]!ToFP" textlink="">
      <xdr:nvSpPr>
        <xdr:cNvPr id="23" name="圆角矩形 22"/>
        <xdr:cNvSpPr/>
      </xdr:nvSpPr>
      <xdr:spPr>
        <a:xfrm>
          <a:off x="238125" y="35433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13</xdr:row>
      <xdr:rowOff>57150</xdr:rowOff>
    </xdr:from>
    <xdr:to>
      <xdr:col>0</xdr:col>
      <xdr:colOff>714375</xdr:colOff>
      <xdr:row>13</xdr:row>
      <xdr:rowOff>285750</xdr:rowOff>
    </xdr:to>
    <xdr:sp macro="[0]!ToTCF" textlink="">
      <xdr:nvSpPr>
        <xdr:cNvPr id="24" name="圆角矩形 23"/>
        <xdr:cNvSpPr/>
      </xdr:nvSpPr>
      <xdr:spPr>
        <a:xfrm>
          <a:off x="228600" y="38385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14</xdr:row>
      <xdr:rowOff>47625</xdr:rowOff>
    </xdr:from>
    <xdr:to>
      <xdr:col>0</xdr:col>
      <xdr:colOff>714375</xdr:colOff>
      <xdr:row>14</xdr:row>
      <xdr:rowOff>276225</xdr:rowOff>
    </xdr:to>
    <xdr:sp macro="[0]!ToPE" textlink="">
      <xdr:nvSpPr>
        <xdr:cNvPr id="25" name="圆角矩形 24"/>
        <xdr:cNvSpPr/>
      </xdr:nvSpPr>
      <xdr:spPr>
        <a:xfrm>
          <a:off x="228600" y="41433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15</xdr:row>
      <xdr:rowOff>47625</xdr:rowOff>
    </xdr:from>
    <xdr:to>
      <xdr:col>0</xdr:col>
      <xdr:colOff>714375</xdr:colOff>
      <xdr:row>15</xdr:row>
      <xdr:rowOff>276225</xdr:rowOff>
    </xdr:to>
    <xdr:sp macro="[0]!ToResult" textlink="">
      <xdr:nvSpPr>
        <xdr:cNvPr id="26" name="圆角矩形 25"/>
        <xdr:cNvSpPr/>
      </xdr:nvSpPr>
      <xdr:spPr>
        <a:xfrm>
          <a:off x="228600" y="44577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1609725</xdr:colOff>
      <xdr:row>16</xdr:row>
      <xdr:rowOff>76200</xdr:rowOff>
    </xdr:from>
    <xdr:to>
      <xdr:col>3</xdr:col>
      <xdr:colOff>581025</xdr:colOff>
      <xdr:row>18</xdr:row>
      <xdr:rowOff>0</xdr:rowOff>
    </xdr:to>
    <xdr:sp macro="[0]!Back" textlink="">
      <xdr:nvSpPr>
        <xdr:cNvPr id="10" name="圆角矩形 9"/>
        <xdr:cNvSpPr/>
      </xdr:nvSpPr>
      <xdr:spPr>
        <a:xfrm>
          <a:off x="4953000" y="35528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18</xdr:row>
      <xdr:rowOff>66675</xdr:rowOff>
    </xdr:from>
    <xdr:to>
      <xdr:col>3</xdr:col>
      <xdr:colOff>628650</xdr:colOff>
      <xdr:row>19</xdr:row>
      <xdr:rowOff>152400</xdr:rowOff>
    </xdr:to>
    <xdr:sp macro="[0]!Back" textlink="">
      <xdr:nvSpPr>
        <xdr:cNvPr id="4" name="圆角矩形 3"/>
        <xdr:cNvSpPr/>
      </xdr:nvSpPr>
      <xdr:spPr>
        <a:xfrm>
          <a:off x="2181225" y="43910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0</xdr:row>
      <xdr:rowOff>142875</xdr:rowOff>
    </xdr:from>
    <xdr:to>
      <xdr:col>15</xdr:col>
      <xdr:colOff>114300</xdr:colOff>
      <xdr:row>13</xdr:row>
      <xdr:rowOff>28575</xdr:rowOff>
    </xdr:to>
    <xdr:graphicFrame macro="">
      <xdr:nvGraphicFramePr>
        <xdr:cNvPr id="4129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13</xdr:row>
      <xdr:rowOff>76200</xdr:rowOff>
    </xdr:from>
    <xdr:to>
      <xdr:col>14</xdr:col>
      <xdr:colOff>590550</xdr:colOff>
      <xdr:row>30</xdr:row>
      <xdr:rowOff>38100</xdr:rowOff>
    </xdr:to>
    <xdr:graphicFrame macro="">
      <xdr:nvGraphicFramePr>
        <xdr:cNvPr id="4130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200025</xdr:colOff>
      <xdr:row>1</xdr:row>
      <xdr:rowOff>38100</xdr:rowOff>
    </xdr:from>
    <xdr:to>
      <xdr:col>0</xdr:col>
      <xdr:colOff>1447800</xdr:colOff>
      <xdr:row>1</xdr:row>
      <xdr:rowOff>285750</xdr:rowOff>
    </xdr:to>
    <xdr:sp macro="" textlink="">
      <xdr:nvSpPr>
        <xdr:cNvPr id="7" name="圆角矩形 6"/>
        <xdr:cNvSpPr/>
      </xdr:nvSpPr>
      <xdr:spPr>
        <a:xfrm>
          <a:off x="200025" y="5429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2</xdr:col>
      <xdr:colOff>352425</xdr:colOff>
      <xdr:row>1</xdr:row>
      <xdr:rowOff>38100</xdr:rowOff>
    </xdr:from>
    <xdr:to>
      <xdr:col>4</xdr:col>
      <xdr:colOff>704850</xdr:colOff>
      <xdr:row>1</xdr:row>
      <xdr:rowOff>285750</xdr:rowOff>
    </xdr:to>
    <xdr:sp macro="[0]!Back" textlink="">
      <xdr:nvSpPr>
        <xdr:cNvPr id="8" name="圆角矩形 7"/>
        <xdr:cNvSpPr/>
      </xdr:nvSpPr>
      <xdr:spPr>
        <a:xfrm>
          <a:off x="2914650" y="5429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47625</xdr:rowOff>
    </xdr:from>
    <xdr:to>
      <xdr:col>0</xdr:col>
      <xdr:colOff>1628775</xdr:colOff>
      <xdr:row>1</xdr:row>
      <xdr:rowOff>295275</xdr:rowOff>
    </xdr:to>
    <xdr:sp macro="" textlink="">
      <xdr:nvSpPr>
        <xdr:cNvPr id="6" name="圆角矩形 5"/>
        <xdr:cNvSpPr/>
      </xdr:nvSpPr>
      <xdr:spPr>
        <a:xfrm>
          <a:off x="381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723900</xdr:colOff>
      <xdr:row>1</xdr:row>
      <xdr:rowOff>47625</xdr:rowOff>
    </xdr:from>
    <xdr:to>
      <xdr:col>6</xdr:col>
      <xdr:colOff>1971675</xdr:colOff>
      <xdr:row>1</xdr:row>
      <xdr:rowOff>295275</xdr:rowOff>
    </xdr:to>
    <xdr:sp macro="[0]!Back" textlink="">
      <xdr:nvSpPr>
        <xdr:cNvPr id="7" name="圆角矩形 6"/>
        <xdr:cNvSpPr/>
      </xdr:nvSpPr>
      <xdr:spPr>
        <a:xfrm>
          <a:off x="58102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66675</xdr:colOff>
      <xdr:row>1</xdr:row>
      <xdr:rowOff>47625</xdr:rowOff>
    </xdr:from>
    <xdr:to>
      <xdr:col>4</xdr:col>
      <xdr:colOff>600075</xdr:colOff>
      <xdr:row>1</xdr:row>
      <xdr:rowOff>295275</xdr:rowOff>
    </xdr:to>
    <xdr:sp macro="[0]!InsertRow" textlink="">
      <xdr:nvSpPr>
        <xdr:cNvPr id="8" name="圆角矩形 7"/>
        <xdr:cNvSpPr/>
      </xdr:nvSpPr>
      <xdr:spPr>
        <a:xfrm>
          <a:off x="30099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</xdr:row>
      <xdr:rowOff>57150</xdr:rowOff>
    </xdr:from>
    <xdr:to>
      <xdr:col>0</xdr:col>
      <xdr:colOff>1638300</xdr:colOff>
      <xdr:row>1</xdr:row>
      <xdr:rowOff>304800</xdr:rowOff>
    </xdr:to>
    <xdr:sp macro="" textlink="">
      <xdr:nvSpPr>
        <xdr:cNvPr id="5" name="圆角矩形 4"/>
        <xdr:cNvSpPr/>
      </xdr:nvSpPr>
      <xdr:spPr>
        <a:xfrm>
          <a:off x="39052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733425</xdr:colOff>
      <xdr:row>1</xdr:row>
      <xdr:rowOff>57150</xdr:rowOff>
    </xdr:from>
    <xdr:to>
      <xdr:col>6</xdr:col>
      <xdr:colOff>1981200</xdr:colOff>
      <xdr:row>1</xdr:row>
      <xdr:rowOff>304800</xdr:rowOff>
    </xdr:to>
    <xdr:sp macro="[0]!Back" textlink="">
      <xdr:nvSpPr>
        <xdr:cNvPr id="6" name="圆角矩形 5"/>
        <xdr:cNvSpPr/>
      </xdr:nvSpPr>
      <xdr:spPr>
        <a:xfrm>
          <a:off x="581977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76200</xdr:colOff>
      <xdr:row>1</xdr:row>
      <xdr:rowOff>57150</xdr:rowOff>
    </xdr:from>
    <xdr:to>
      <xdr:col>4</xdr:col>
      <xdr:colOff>609600</xdr:colOff>
      <xdr:row>1</xdr:row>
      <xdr:rowOff>304800</xdr:rowOff>
    </xdr:to>
    <xdr:sp macro="[0]!InsertRow" textlink="">
      <xdr:nvSpPr>
        <xdr:cNvPr id="7" name="圆角矩形 6"/>
        <xdr:cNvSpPr/>
      </xdr:nvSpPr>
      <xdr:spPr>
        <a:xfrm>
          <a:off x="301942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47625</xdr:rowOff>
    </xdr:from>
    <xdr:to>
      <xdr:col>0</xdr:col>
      <xdr:colOff>1628775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381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723900</xdr:colOff>
      <xdr:row>1</xdr:row>
      <xdr:rowOff>47625</xdr:rowOff>
    </xdr:from>
    <xdr:to>
      <xdr:col>6</xdr:col>
      <xdr:colOff>1971675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8102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66675</xdr:colOff>
      <xdr:row>1</xdr:row>
      <xdr:rowOff>47625</xdr:rowOff>
    </xdr:from>
    <xdr:to>
      <xdr:col>4</xdr:col>
      <xdr:colOff>600075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30099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47625</xdr:rowOff>
    </xdr:from>
    <xdr:to>
      <xdr:col>0</xdr:col>
      <xdr:colOff>1704975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4572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762000</xdr:colOff>
      <xdr:row>1</xdr:row>
      <xdr:rowOff>47625</xdr:rowOff>
    </xdr:from>
    <xdr:to>
      <xdr:col>6</xdr:col>
      <xdr:colOff>2009775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8483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104775</xdr:colOff>
      <xdr:row>1</xdr:row>
      <xdr:rowOff>47625</xdr:rowOff>
    </xdr:from>
    <xdr:to>
      <xdr:col>4</xdr:col>
      <xdr:colOff>638175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3048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</xdr:row>
      <xdr:rowOff>47625</xdr:rowOff>
    </xdr:from>
    <xdr:to>
      <xdr:col>0</xdr:col>
      <xdr:colOff>1524000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27622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8</xdr:col>
      <xdr:colOff>285750</xdr:colOff>
      <xdr:row>1</xdr:row>
      <xdr:rowOff>47625</xdr:rowOff>
    </xdr:from>
    <xdr:to>
      <xdr:col>10</xdr:col>
      <xdr:colOff>304800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66737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2</xdr:col>
      <xdr:colOff>371475</xdr:colOff>
      <xdr:row>1</xdr:row>
      <xdr:rowOff>47625</xdr:rowOff>
    </xdr:from>
    <xdr:to>
      <xdr:col>5</xdr:col>
      <xdr:colOff>209550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286702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43"/>
  </sheetPr>
  <dimension ref="A1:E10"/>
  <sheetViews>
    <sheetView workbookViewId="0">
      <selection activeCell="E8" sqref="E8"/>
    </sheetView>
  </sheetViews>
  <sheetFormatPr defaultRowHeight="12.75" x14ac:dyDescent="0.2"/>
  <cols>
    <col min="1" max="1" width="23.7109375" style="13" customWidth="1"/>
    <col min="2" max="16384" width="9.140625" style="13"/>
  </cols>
  <sheetData>
    <row r="1" spans="1:5" x14ac:dyDescent="0.2">
      <c r="A1" s="15" t="s">
        <v>30</v>
      </c>
      <c r="B1" s="15" t="s">
        <v>29</v>
      </c>
    </row>
    <row r="2" spans="1:5" x14ac:dyDescent="0.2">
      <c r="A2" s="14" t="s">
        <v>28</v>
      </c>
      <c r="B2" s="14">
        <v>55</v>
      </c>
      <c r="E2" s="13">
        <v>0</v>
      </c>
    </row>
    <row r="3" spans="1:5" x14ac:dyDescent="0.2">
      <c r="A3" s="14" t="s">
        <v>27</v>
      </c>
      <c r="B3" s="14">
        <v>53</v>
      </c>
      <c r="E3" s="13">
        <v>1</v>
      </c>
    </row>
    <row r="4" spans="1:5" x14ac:dyDescent="0.2">
      <c r="A4" s="14" t="s">
        <v>26</v>
      </c>
      <c r="B4" s="14">
        <v>34</v>
      </c>
      <c r="E4" s="13">
        <v>2</v>
      </c>
    </row>
    <row r="5" spans="1:5" x14ac:dyDescent="0.2">
      <c r="A5" s="14" t="s">
        <v>25</v>
      </c>
      <c r="B5" s="14">
        <v>42</v>
      </c>
      <c r="E5" s="13">
        <v>3</v>
      </c>
    </row>
    <row r="6" spans="1:5" x14ac:dyDescent="0.2">
      <c r="A6" s="14" t="s">
        <v>24</v>
      </c>
      <c r="B6" s="14">
        <v>50</v>
      </c>
      <c r="E6" s="13">
        <v>4</v>
      </c>
    </row>
    <row r="7" spans="1:5" x14ac:dyDescent="0.2">
      <c r="A7" s="14" t="s">
        <v>23</v>
      </c>
      <c r="B7" s="14">
        <v>29</v>
      </c>
      <c r="E7" s="13">
        <v>5</v>
      </c>
    </row>
    <row r="8" spans="1:5" x14ac:dyDescent="0.2">
      <c r="A8" s="14" t="s">
        <v>22</v>
      </c>
      <c r="B8" s="14">
        <v>35</v>
      </c>
    </row>
    <row r="9" spans="1:5" x14ac:dyDescent="0.2">
      <c r="A9" s="14" t="s">
        <v>21</v>
      </c>
      <c r="B9" s="14">
        <v>45</v>
      </c>
    </row>
    <row r="10" spans="1:5" x14ac:dyDescent="0.2">
      <c r="A10" s="14"/>
      <c r="B10" s="14"/>
    </row>
  </sheetData>
  <phoneticPr fontId="1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17"/>
  <sheetViews>
    <sheetView showGridLines="0" tabSelected="1" workbookViewId="0">
      <selection sqref="A1:B1"/>
    </sheetView>
  </sheetViews>
  <sheetFormatPr defaultRowHeight="12.75" x14ac:dyDescent="0.2"/>
  <cols>
    <col min="1" max="1" width="14.7109375" customWidth="1"/>
    <col min="2" max="2" width="45.140625" customWidth="1"/>
  </cols>
  <sheetData>
    <row r="1" spans="1:3" ht="34.9" customHeight="1" x14ac:dyDescent="0.2">
      <c r="A1" s="85" t="s">
        <v>2</v>
      </c>
      <c r="B1" s="86"/>
    </row>
    <row r="2" spans="1:3" ht="12.75" customHeight="1" x14ac:dyDescent="0.2">
      <c r="A2" s="90" t="s">
        <v>161</v>
      </c>
      <c r="B2" s="90"/>
      <c r="C2" s="81"/>
    </row>
    <row r="3" spans="1:3" x14ac:dyDescent="0.2">
      <c r="A3" s="90"/>
      <c r="B3" s="90"/>
      <c r="C3" s="80"/>
    </row>
    <row r="4" spans="1:3" ht="34.9" customHeight="1" x14ac:dyDescent="0.2">
      <c r="A4" s="87"/>
      <c r="B4" s="87"/>
    </row>
    <row r="5" spans="1:3" ht="18" customHeight="1" x14ac:dyDescent="0.2">
      <c r="A5" s="88" t="s">
        <v>167</v>
      </c>
      <c r="B5" s="89"/>
    </row>
    <row r="6" spans="1:3" ht="25.15" customHeight="1" x14ac:dyDescent="0.2">
      <c r="A6" s="16"/>
      <c r="B6" s="18" t="s">
        <v>8</v>
      </c>
      <c r="C6" s="1"/>
    </row>
    <row r="7" spans="1:3" ht="25.15" customHeight="1" x14ac:dyDescent="0.2">
      <c r="A7" s="17" t="s">
        <v>0</v>
      </c>
      <c r="B7" s="19" t="s">
        <v>9</v>
      </c>
    </row>
    <row r="8" spans="1:3" ht="25.15" customHeight="1" x14ac:dyDescent="0.2">
      <c r="A8" s="16"/>
      <c r="B8" s="18" t="s">
        <v>5</v>
      </c>
    </row>
    <row r="9" spans="1:3" ht="25.15" customHeight="1" x14ac:dyDescent="0.2">
      <c r="A9" s="16"/>
      <c r="B9" s="18" t="s">
        <v>4</v>
      </c>
    </row>
    <row r="10" spans="1:3" ht="25.15" customHeight="1" x14ac:dyDescent="0.2">
      <c r="A10" s="16"/>
      <c r="B10" s="18" t="s">
        <v>6</v>
      </c>
    </row>
    <row r="11" spans="1:3" ht="25.15" customHeight="1" x14ac:dyDescent="0.2">
      <c r="A11" s="16"/>
      <c r="B11" s="18" t="s">
        <v>10</v>
      </c>
    </row>
    <row r="12" spans="1:3" ht="25.15" customHeight="1" x14ac:dyDescent="0.2">
      <c r="A12" s="16"/>
      <c r="B12" s="18" t="s">
        <v>7</v>
      </c>
    </row>
    <row r="13" spans="1:3" ht="25.15" customHeight="1" x14ac:dyDescent="0.2">
      <c r="A13" s="16"/>
      <c r="B13" s="18" t="s">
        <v>11</v>
      </c>
    </row>
    <row r="14" spans="1:3" ht="25.15" customHeight="1" x14ac:dyDescent="0.2">
      <c r="A14" s="16"/>
      <c r="B14" s="18" t="s">
        <v>3</v>
      </c>
    </row>
    <row r="15" spans="1:3" ht="25.15" customHeight="1" x14ac:dyDescent="0.2">
      <c r="A15" s="16"/>
      <c r="B15" s="18" t="s">
        <v>12</v>
      </c>
    </row>
    <row r="16" spans="1:3" ht="25.15" customHeight="1" x14ac:dyDescent="0.2">
      <c r="A16" s="16"/>
      <c r="B16" s="18" t="s">
        <v>62</v>
      </c>
    </row>
    <row r="17" spans="1:2" x14ac:dyDescent="0.2">
      <c r="A17" s="8"/>
      <c r="B17" s="9"/>
    </row>
  </sheetData>
  <sheetProtection sheet="1" objects="1" scenarios="1"/>
  <mergeCells count="4">
    <mergeCell ref="A1:B1"/>
    <mergeCell ref="A4:B4"/>
    <mergeCell ref="A5:B5"/>
    <mergeCell ref="A2:B3"/>
  </mergeCells>
  <phoneticPr fontId="1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I16"/>
  <sheetViews>
    <sheetView showGridLines="0" workbookViewId="0">
      <selection activeCell="C11" sqref="C11"/>
    </sheetView>
  </sheetViews>
  <sheetFormatPr defaultRowHeight="12.75" x14ac:dyDescent="0.2"/>
  <cols>
    <col min="1" max="1" width="41" customWidth="1"/>
    <col min="2" max="2" width="9.140625" style="2"/>
    <col min="3" max="3" width="34.140625" customWidth="1"/>
    <col min="8" max="8" width="16.7109375" customWidth="1"/>
  </cols>
  <sheetData>
    <row r="1" spans="1:9" ht="27" customHeight="1" x14ac:dyDescent="0.2">
      <c r="A1" s="91" t="s">
        <v>81</v>
      </c>
      <c r="B1" s="92"/>
      <c r="C1" s="93"/>
    </row>
    <row r="2" spans="1:9" ht="16.5" x14ac:dyDescent="0.3">
      <c r="A2" s="94" t="s">
        <v>13</v>
      </c>
      <c r="B2" s="95"/>
      <c r="C2" s="96"/>
    </row>
    <row r="3" spans="1:9" ht="16.5" x14ac:dyDescent="0.3">
      <c r="A3" s="20" t="s">
        <v>14</v>
      </c>
      <c r="B3" s="98"/>
      <c r="C3" s="98"/>
    </row>
    <row r="4" spans="1:9" ht="16.5" x14ac:dyDescent="0.3">
      <c r="A4" s="20" t="s">
        <v>15</v>
      </c>
      <c r="B4" s="98"/>
      <c r="C4" s="98"/>
    </row>
    <row r="5" spans="1:9" ht="16.5" x14ac:dyDescent="0.3">
      <c r="A5" s="20" t="s">
        <v>16</v>
      </c>
      <c r="B5" s="98"/>
      <c r="C5" s="98"/>
    </row>
    <row r="6" spans="1:9" ht="16.5" x14ac:dyDescent="0.3">
      <c r="A6" s="20" t="s">
        <v>17</v>
      </c>
      <c r="B6" s="98"/>
      <c r="C6" s="98"/>
      <c r="E6" s="97" t="s">
        <v>20</v>
      </c>
      <c r="F6" s="97"/>
      <c r="G6" s="97"/>
      <c r="H6" s="97"/>
      <c r="I6" s="97"/>
    </row>
    <row r="7" spans="1:9" ht="16.5" x14ac:dyDescent="0.3">
      <c r="A7" s="20" t="s">
        <v>18</v>
      </c>
      <c r="B7" s="98"/>
      <c r="C7" s="98"/>
      <c r="E7" s="30" t="str">
        <f>B12</f>
        <v xml:space="preserve"> </v>
      </c>
      <c r="F7" s="31" t="s">
        <v>93</v>
      </c>
      <c r="G7" s="84"/>
      <c r="H7" s="32" t="str">
        <f>IF(E7=" "," ",$E7*VLOOKUP($G7,Backfiring!$A$2:'Backfiring'!$B$9,2,FALSE))</f>
        <v xml:space="preserve"> </v>
      </c>
      <c r="I7" s="31" t="s">
        <v>94</v>
      </c>
    </row>
    <row r="8" spans="1:9" ht="16.5" x14ac:dyDescent="0.35">
      <c r="A8" s="21"/>
      <c r="B8" s="21"/>
      <c r="C8" s="21"/>
    </row>
    <row r="9" spans="1:9" ht="15.75" customHeight="1" x14ac:dyDescent="0.3">
      <c r="A9" s="22" t="s">
        <v>19</v>
      </c>
      <c r="B9" s="33" t="s">
        <v>95</v>
      </c>
      <c r="C9" s="34" t="s">
        <v>96</v>
      </c>
    </row>
    <row r="10" spans="1:9" ht="16.5" x14ac:dyDescent="0.3">
      <c r="A10" s="23" t="s">
        <v>87</v>
      </c>
      <c r="B10" s="28" t="str">
        <f>IF(FPs!E19=0," ",FPs!E19)</f>
        <v xml:space="preserve"> </v>
      </c>
      <c r="C10" s="23" t="s">
        <v>170</v>
      </c>
    </row>
    <row r="11" spans="1:9" ht="16.5" x14ac:dyDescent="0.3">
      <c r="A11" s="23" t="s">
        <v>88</v>
      </c>
      <c r="B11" s="28" t="str">
        <f>IF(TCF!C18=" "," ",TCF!C18)</f>
        <v xml:space="preserve"> </v>
      </c>
      <c r="C11" s="23" t="s">
        <v>160</v>
      </c>
    </row>
    <row r="12" spans="1:9" ht="16.5" x14ac:dyDescent="0.3">
      <c r="A12" s="23" t="s">
        <v>89</v>
      </c>
      <c r="B12" s="29" t="str">
        <f>IF(OR(B10=" ",B11=" ")," ",B10*B11)</f>
        <v xml:space="preserve"> </v>
      </c>
      <c r="C12" s="26" t="s">
        <v>86</v>
      </c>
    </row>
    <row r="13" spans="1:9" ht="16.5" x14ac:dyDescent="0.3">
      <c r="A13" s="23" t="s">
        <v>90</v>
      </c>
      <c r="B13" s="82"/>
      <c r="C13" s="27" t="s">
        <v>91</v>
      </c>
    </row>
    <row r="14" spans="1:9" ht="16.5" x14ac:dyDescent="0.3">
      <c r="A14" s="23" t="s">
        <v>159</v>
      </c>
      <c r="B14" s="29" t="str">
        <f>IF(OR(B12=" ",B13=" ")," ",B12*B13)</f>
        <v xml:space="preserve"> </v>
      </c>
      <c r="C14" s="23" t="s">
        <v>92</v>
      </c>
    </row>
    <row r="15" spans="1:9" ht="16.5" x14ac:dyDescent="0.3">
      <c r="A15" s="23" t="s">
        <v>163</v>
      </c>
      <c r="B15" s="83"/>
      <c r="C15" s="23" t="s">
        <v>164</v>
      </c>
    </row>
    <row r="16" spans="1:9" ht="16.5" x14ac:dyDescent="0.3">
      <c r="A16" s="23" t="s">
        <v>165</v>
      </c>
      <c r="B16" s="29" t="str">
        <f>IF(OR(B14=" ",B15=" ")," ",B14*B15)</f>
        <v xml:space="preserve"> </v>
      </c>
      <c r="C16" s="23" t="s">
        <v>166</v>
      </c>
    </row>
  </sheetData>
  <sheetProtection sheet="1" objects="1" scenarios="1"/>
  <mergeCells count="8">
    <mergeCell ref="A1:C1"/>
    <mergeCell ref="A2:C2"/>
    <mergeCell ref="E6:I6"/>
    <mergeCell ref="B7:C7"/>
    <mergeCell ref="B3:C3"/>
    <mergeCell ref="B5:C5"/>
    <mergeCell ref="B6:C6"/>
    <mergeCell ref="B4:C4"/>
  </mergeCells>
  <phoneticPr fontId="10" type="noConversion"/>
  <dataValidations count="1">
    <dataValidation type="list" allowBlank="1" showInputMessage="1" showErrorMessage="1" sqref="G7">
      <formula1>language</formula1>
    </dataValidation>
  </dataValidation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/>
  </sheetPr>
  <dimension ref="A1:D19"/>
  <sheetViews>
    <sheetView showGridLines="0" workbookViewId="0">
      <selection activeCell="C16" sqref="C16"/>
    </sheetView>
  </sheetViews>
  <sheetFormatPr defaultRowHeight="12.75" x14ac:dyDescent="0.2"/>
  <cols>
    <col min="1" max="1" width="3.7109375" style="3" customWidth="1"/>
    <col min="2" max="2" width="27.5703125" style="3" customWidth="1"/>
    <col min="3" max="3" width="10.7109375" style="4" customWidth="1"/>
    <col min="4" max="4" width="48.85546875" style="3" customWidth="1"/>
  </cols>
  <sheetData>
    <row r="1" spans="1:4" ht="27" customHeight="1" x14ac:dyDescent="0.2">
      <c r="A1" s="103" t="s">
        <v>31</v>
      </c>
      <c r="B1" s="104"/>
      <c r="C1" s="104"/>
      <c r="D1" s="105"/>
    </row>
    <row r="2" spans="1:4" ht="33" x14ac:dyDescent="0.2">
      <c r="A2" s="106" t="s">
        <v>111</v>
      </c>
      <c r="B2" s="107"/>
      <c r="C2" s="36" t="s">
        <v>113</v>
      </c>
      <c r="D2" s="38" t="s">
        <v>46</v>
      </c>
    </row>
    <row r="3" spans="1:4" ht="31.5" customHeight="1" x14ac:dyDescent="0.2">
      <c r="A3" s="39" t="s">
        <v>97</v>
      </c>
      <c r="B3" s="35" t="s">
        <v>32</v>
      </c>
      <c r="C3" s="53"/>
      <c r="D3" s="52" t="s">
        <v>48</v>
      </c>
    </row>
    <row r="4" spans="1:4" ht="16.5" x14ac:dyDescent="0.2">
      <c r="A4" s="39" t="s">
        <v>98</v>
      </c>
      <c r="B4" s="35" t="s">
        <v>33</v>
      </c>
      <c r="C4" s="53"/>
      <c r="D4" s="52" t="s">
        <v>49</v>
      </c>
    </row>
    <row r="5" spans="1:4" ht="16.5" x14ac:dyDescent="0.2">
      <c r="A5" s="39" t="s">
        <v>99</v>
      </c>
      <c r="B5" s="35" t="s">
        <v>34</v>
      </c>
      <c r="C5" s="53"/>
      <c r="D5" s="52" t="s">
        <v>50</v>
      </c>
    </row>
    <row r="6" spans="1:4" ht="16.5" x14ac:dyDescent="0.2">
      <c r="A6" s="39" t="s">
        <v>100</v>
      </c>
      <c r="B6" s="35" t="s">
        <v>35</v>
      </c>
      <c r="C6" s="53"/>
      <c r="D6" s="52" t="s">
        <v>51</v>
      </c>
    </row>
    <row r="7" spans="1:4" ht="16.5" x14ac:dyDescent="0.2">
      <c r="A7" s="39" t="s">
        <v>101</v>
      </c>
      <c r="B7" s="35" t="s">
        <v>36</v>
      </c>
      <c r="C7" s="53"/>
      <c r="D7" s="52" t="s">
        <v>52</v>
      </c>
    </row>
    <row r="8" spans="1:4" ht="16.5" x14ac:dyDescent="0.2">
      <c r="A8" s="39" t="s">
        <v>102</v>
      </c>
      <c r="B8" s="35" t="s">
        <v>37</v>
      </c>
      <c r="C8" s="53"/>
      <c r="D8" s="52" t="s">
        <v>53</v>
      </c>
    </row>
    <row r="9" spans="1:4" ht="16.5" x14ac:dyDescent="0.2">
      <c r="A9" s="39" t="s">
        <v>103</v>
      </c>
      <c r="B9" s="35" t="s">
        <v>38</v>
      </c>
      <c r="C9" s="53"/>
      <c r="D9" s="52" t="s">
        <v>54</v>
      </c>
    </row>
    <row r="10" spans="1:4" ht="16.5" x14ac:dyDescent="0.2">
      <c r="A10" s="39" t="s">
        <v>104</v>
      </c>
      <c r="B10" s="35" t="s">
        <v>39</v>
      </c>
      <c r="C10" s="53"/>
      <c r="D10" s="52" t="s">
        <v>55</v>
      </c>
    </row>
    <row r="11" spans="1:4" ht="16.5" x14ac:dyDescent="0.2">
      <c r="A11" s="39" t="s">
        <v>105</v>
      </c>
      <c r="B11" s="35" t="s">
        <v>40</v>
      </c>
      <c r="C11" s="53"/>
      <c r="D11" s="52" t="s">
        <v>56</v>
      </c>
    </row>
    <row r="12" spans="1:4" ht="16.5" x14ac:dyDescent="0.2">
      <c r="A12" s="39" t="s">
        <v>106</v>
      </c>
      <c r="B12" s="35" t="s">
        <v>41</v>
      </c>
      <c r="C12" s="53"/>
      <c r="D12" s="52" t="s">
        <v>57</v>
      </c>
    </row>
    <row r="13" spans="1:4" ht="16.5" x14ac:dyDescent="0.2">
      <c r="A13" s="39" t="s">
        <v>107</v>
      </c>
      <c r="B13" s="35" t="s">
        <v>42</v>
      </c>
      <c r="C13" s="53"/>
      <c r="D13" s="52" t="s">
        <v>58</v>
      </c>
    </row>
    <row r="14" spans="1:4" ht="16.5" x14ac:dyDescent="0.2">
      <c r="A14" s="39" t="s">
        <v>108</v>
      </c>
      <c r="B14" s="35" t="s">
        <v>43</v>
      </c>
      <c r="C14" s="53"/>
      <c r="D14" s="52" t="s">
        <v>59</v>
      </c>
    </row>
    <row r="15" spans="1:4" ht="27.75" x14ac:dyDescent="0.2">
      <c r="A15" s="39" t="s">
        <v>109</v>
      </c>
      <c r="B15" s="35" t="s">
        <v>44</v>
      </c>
      <c r="C15" s="53"/>
      <c r="D15" s="52" t="s">
        <v>60</v>
      </c>
    </row>
    <row r="16" spans="1:4" ht="16.5" x14ac:dyDescent="0.2">
      <c r="A16" s="39" t="s">
        <v>110</v>
      </c>
      <c r="B16" s="35" t="s">
        <v>45</v>
      </c>
      <c r="C16" s="53"/>
      <c r="D16" s="52" t="s">
        <v>61</v>
      </c>
    </row>
    <row r="17" spans="1:4" ht="16.5" x14ac:dyDescent="0.3">
      <c r="A17" s="101" t="s">
        <v>162</v>
      </c>
      <c r="B17" s="102"/>
      <c r="C17" s="37" t="str">
        <f>IF(AND(ISNUMBER(C3),ISNUMBER(C4),ISNUMBER(C5),ISNUMBER(C6),ISNUMBER(C7),ISNUMBER(C8),ISNUMBER(C9),ISNUMBER(C10),ISNUMBER(C11),ISNUMBER(C12),ISNUMBER(C13),ISNUMBER(C14),ISNUMBER(C15),ISNUMBER(C16)),SUM(C3:C16)," ")</f>
        <v xml:space="preserve"> </v>
      </c>
      <c r="D17" s="40" t="s">
        <v>47</v>
      </c>
    </row>
    <row r="18" spans="1:4" ht="18" thickBot="1" x14ac:dyDescent="0.4">
      <c r="A18" s="99" t="s">
        <v>112</v>
      </c>
      <c r="B18" s="100"/>
      <c r="C18" s="41" t="str">
        <f>IF(OR($C17=" ",C3&gt;5,C4&gt;5,C5&gt;5,C6&gt;5,C7&gt;5,C8&gt;8,C9&gt;5,C10&gt;5,C11&gt;5,C12&gt;5,C13&gt;5,C14&gt;5,C15&gt;5,C16&gt;5)," ",(C17*0.01)+0.65)</f>
        <v xml:space="preserve"> </v>
      </c>
      <c r="D18" s="42" t="s">
        <v>114</v>
      </c>
    </row>
    <row r="19" spans="1:4" x14ac:dyDescent="0.2">
      <c r="A19"/>
      <c r="B19"/>
      <c r="C19"/>
      <c r="D19"/>
    </row>
  </sheetData>
  <sheetProtection sheet="1" objects="1" scenarios="1"/>
  <mergeCells count="4">
    <mergeCell ref="A18:B18"/>
    <mergeCell ref="A17:B17"/>
    <mergeCell ref="A1:D1"/>
    <mergeCell ref="A2:B2"/>
  </mergeCells>
  <phoneticPr fontId="10" type="noConversion"/>
  <dataValidations count="1">
    <dataValidation type="list" allowBlank="1" showInputMessage="1" showErrorMessage="1" sqref="C3:C16">
      <formula1>degrees</formula1>
    </dataValidation>
  </dataValidation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249977111117893"/>
  </sheetPr>
  <dimension ref="A1:F22"/>
  <sheetViews>
    <sheetView showGridLines="0" workbookViewId="0">
      <selection activeCell="P26" sqref="P26"/>
    </sheetView>
  </sheetViews>
  <sheetFormatPr defaultRowHeight="12.75" x14ac:dyDescent="0.2"/>
  <cols>
    <col min="1" max="1" width="25.7109375" customWidth="1"/>
    <col min="2" max="2" width="12.7109375" style="1" customWidth="1"/>
    <col min="3" max="4" width="6.7109375" style="1" customWidth="1"/>
    <col min="5" max="6" width="12.7109375" style="1" customWidth="1"/>
  </cols>
  <sheetData>
    <row r="1" spans="1:6" s="6" customFormat="1" ht="40.15" customHeight="1" thickBot="1" x14ac:dyDescent="0.25">
      <c r="A1" s="111" t="s">
        <v>121</v>
      </c>
      <c r="B1" s="112"/>
      <c r="C1" s="112"/>
      <c r="D1" s="112"/>
      <c r="E1" s="112"/>
      <c r="F1" s="113"/>
    </row>
    <row r="2" spans="1:6" ht="27" customHeight="1" thickBot="1" x14ac:dyDescent="0.25">
      <c r="A2" s="5"/>
      <c r="B2"/>
      <c r="C2" s="115"/>
      <c r="D2" s="115"/>
      <c r="E2" s="115"/>
      <c r="F2" s="5"/>
    </row>
    <row r="3" spans="1:6" ht="33" x14ac:dyDescent="0.3">
      <c r="A3" s="43" t="s">
        <v>63</v>
      </c>
      <c r="B3" s="44" t="s">
        <v>64</v>
      </c>
      <c r="C3" s="45" t="s">
        <v>65</v>
      </c>
      <c r="D3" s="45" t="s">
        <v>66</v>
      </c>
      <c r="E3" s="44" t="s">
        <v>115</v>
      </c>
      <c r="F3" s="46" t="s">
        <v>1</v>
      </c>
    </row>
    <row r="4" spans="1:6" ht="16.5" x14ac:dyDescent="0.3">
      <c r="A4" s="114" t="s">
        <v>118</v>
      </c>
      <c r="B4" s="24" t="s">
        <v>67</v>
      </c>
      <c r="C4" s="25">
        <f>ILFs!$D$10</f>
        <v>0</v>
      </c>
      <c r="D4" s="25">
        <v>7</v>
      </c>
      <c r="E4" s="25">
        <f>C4*D4</f>
        <v>0</v>
      </c>
      <c r="F4" s="108" t="str">
        <f>IF($E$19=0," ",SUM(E4:E6)/$E$19)</f>
        <v xml:space="preserve"> </v>
      </c>
    </row>
    <row r="5" spans="1:6" ht="16.5" x14ac:dyDescent="0.3">
      <c r="A5" s="114"/>
      <c r="B5" s="24" t="s">
        <v>68</v>
      </c>
      <c r="C5" s="25">
        <f>ILFs!$E$10</f>
        <v>0</v>
      </c>
      <c r="D5" s="25">
        <v>10</v>
      </c>
      <c r="E5" s="25">
        <f t="shared" ref="E5:E18" si="0">C5*D5</f>
        <v>0</v>
      </c>
      <c r="F5" s="109"/>
    </row>
    <row r="6" spans="1:6" ht="16.5" x14ac:dyDescent="0.3">
      <c r="A6" s="114"/>
      <c r="B6" s="24" t="s">
        <v>69</v>
      </c>
      <c r="C6" s="25">
        <f>ILFs!$F$10</f>
        <v>0</v>
      </c>
      <c r="D6" s="25">
        <v>15</v>
      </c>
      <c r="E6" s="25">
        <f t="shared" si="0"/>
        <v>0</v>
      </c>
      <c r="F6" s="110"/>
    </row>
    <row r="7" spans="1:6" ht="16.5" x14ac:dyDescent="0.3">
      <c r="A7" s="114" t="s">
        <v>119</v>
      </c>
      <c r="B7" s="24" t="s">
        <v>67</v>
      </c>
      <c r="C7" s="25">
        <f>EIFs!$D$10</f>
        <v>0</v>
      </c>
      <c r="D7" s="25">
        <v>5</v>
      </c>
      <c r="E7" s="25">
        <f t="shared" si="0"/>
        <v>0</v>
      </c>
      <c r="F7" s="108" t="str">
        <f>IF($E$19=0," ",SUM(E7:E9)/$E$19)</f>
        <v xml:space="preserve"> </v>
      </c>
    </row>
    <row r="8" spans="1:6" ht="16.5" x14ac:dyDescent="0.3">
      <c r="A8" s="114"/>
      <c r="B8" s="24" t="s">
        <v>68</v>
      </c>
      <c r="C8" s="25">
        <f>EIFs!$E$10</f>
        <v>0</v>
      </c>
      <c r="D8" s="25">
        <v>7</v>
      </c>
      <c r="E8" s="25">
        <f t="shared" si="0"/>
        <v>0</v>
      </c>
      <c r="F8" s="109"/>
    </row>
    <row r="9" spans="1:6" ht="16.5" x14ac:dyDescent="0.3">
      <c r="A9" s="114"/>
      <c r="B9" s="24" t="s">
        <v>69</v>
      </c>
      <c r="C9" s="25">
        <f>EIFs!$F$10</f>
        <v>0</v>
      </c>
      <c r="D9" s="25">
        <v>10</v>
      </c>
      <c r="E9" s="25">
        <f t="shared" si="0"/>
        <v>0</v>
      </c>
      <c r="F9" s="110"/>
    </row>
    <row r="10" spans="1:6" ht="16.5" x14ac:dyDescent="0.3">
      <c r="A10" s="114" t="s">
        <v>120</v>
      </c>
      <c r="B10" s="24" t="s">
        <v>67</v>
      </c>
      <c r="C10" s="25">
        <f>EIs!$D$10</f>
        <v>0</v>
      </c>
      <c r="D10" s="25">
        <v>3</v>
      </c>
      <c r="E10" s="25">
        <f t="shared" si="0"/>
        <v>0</v>
      </c>
      <c r="F10" s="108" t="str">
        <f>IF($E$19=0," ",SUM(E10:E12)/$E$19)</f>
        <v xml:space="preserve"> </v>
      </c>
    </row>
    <row r="11" spans="1:6" ht="16.5" x14ac:dyDescent="0.3">
      <c r="A11" s="114"/>
      <c r="B11" s="24" t="s">
        <v>68</v>
      </c>
      <c r="C11" s="25">
        <f>EIs!$E$10</f>
        <v>0</v>
      </c>
      <c r="D11" s="25">
        <v>4</v>
      </c>
      <c r="E11" s="25">
        <f t="shared" si="0"/>
        <v>0</v>
      </c>
      <c r="F11" s="109"/>
    </row>
    <row r="12" spans="1:6" ht="16.5" x14ac:dyDescent="0.3">
      <c r="A12" s="114"/>
      <c r="B12" s="24" t="s">
        <v>69</v>
      </c>
      <c r="C12" s="25">
        <f>EIs!$F$10</f>
        <v>0</v>
      </c>
      <c r="D12" s="25">
        <v>6</v>
      </c>
      <c r="E12" s="25">
        <f t="shared" si="0"/>
        <v>0</v>
      </c>
      <c r="F12" s="110"/>
    </row>
    <row r="13" spans="1:6" ht="16.5" x14ac:dyDescent="0.3">
      <c r="A13" s="114" t="s">
        <v>117</v>
      </c>
      <c r="B13" s="24" t="s">
        <v>67</v>
      </c>
      <c r="C13" s="25">
        <f>EOs!$D$11</f>
        <v>0</v>
      </c>
      <c r="D13" s="25">
        <v>4</v>
      </c>
      <c r="E13" s="25">
        <f t="shared" si="0"/>
        <v>0</v>
      </c>
      <c r="F13" s="108" t="str">
        <f>IF($E$19=0," ",SUM(E13:E15)/$E$19)</f>
        <v xml:space="preserve"> </v>
      </c>
    </row>
    <row r="14" spans="1:6" ht="16.5" x14ac:dyDescent="0.3">
      <c r="A14" s="114"/>
      <c r="B14" s="24" t="s">
        <v>68</v>
      </c>
      <c r="C14" s="25">
        <f>EOs!$E$11</f>
        <v>0</v>
      </c>
      <c r="D14" s="25">
        <v>5</v>
      </c>
      <c r="E14" s="25">
        <f t="shared" si="0"/>
        <v>0</v>
      </c>
      <c r="F14" s="109"/>
    </row>
    <row r="15" spans="1:6" ht="16.5" x14ac:dyDescent="0.3">
      <c r="A15" s="114"/>
      <c r="B15" s="24" t="s">
        <v>69</v>
      </c>
      <c r="C15" s="25">
        <f>EOs!$F$11</f>
        <v>0</v>
      </c>
      <c r="D15" s="25">
        <v>7</v>
      </c>
      <c r="E15" s="25">
        <f t="shared" si="0"/>
        <v>0</v>
      </c>
      <c r="F15" s="110"/>
    </row>
    <row r="16" spans="1:6" ht="16.5" x14ac:dyDescent="0.3">
      <c r="A16" s="114" t="s">
        <v>116</v>
      </c>
      <c r="B16" s="24" t="s">
        <v>67</v>
      </c>
      <c r="C16" s="25">
        <f>EQs!$H$11</f>
        <v>0</v>
      </c>
      <c r="D16" s="25">
        <v>3</v>
      </c>
      <c r="E16" s="25">
        <f t="shared" si="0"/>
        <v>0</v>
      </c>
      <c r="F16" s="108" t="str">
        <f>IF($E$19=0," ",SUM(E16:E18)/$E$19)</f>
        <v xml:space="preserve"> </v>
      </c>
    </row>
    <row r="17" spans="1:6" ht="16.5" x14ac:dyDescent="0.3">
      <c r="A17" s="114"/>
      <c r="B17" s="24" t="s">
        <v>68</v>
      </c>
      <c r="C17" s="25">
        <f>EQs!$I$11</f>
        <v>0</v>
      </c>
      <c r="D17" s="25">
        <v>4</v>
      </c>
      <c r="E17" s="25">
        <f t="shared" si="0"/>
        <v>0</v>
      </c>
      <c r="F17" s="109"/>
    </row>
    <row r="18" spans="1:6" ht="16.5" x14ac:dyDescent="0.3">
      <c r="A18" s="114"/>
      <c r="B18" s="24" t="s">
        <v>69</v>
      </c>
      <c r="C18" s="25">
        <f>EQs!$J$11</f>
        <v>0</v>
      </c>
      <c r="D18" s="25">
        <v>6</v>
      </c>
      <c r="E18" s="25">
        <f t="shared" si="0"/>
        <v>0</v>
      </c>
      <c r="F18" s="110"/>
    </row>
    <row r="19" spans="1:6" ht="17.25" thickBot="1" x14ac:dyDescent="0.35">
      <c r="A19" s="47" t="s">
        <v>70</v>
      </c>
      <c r="B19" s="48"/>
      <c r="C19" s="49"/>
      <c r="D19" s="49"/>
      <c r="E19" s="50">
        <f>SUM(E4:E18)</f>
        <v>0</v>
      </c>
      <c r="F19" s="51">
        <f>SUM(F4:F17)</f>
        <v>0</v>
      </c>
    </row>
    <row r="20" spans="1:6" x14ac:dyDescent="0.2">
      <c r="B20"/>
      <c r="C20"/>
      <c r="D20"/>
      <c r="E20"/>
      <c r="F20"/>
    </row>
    <row r="21" spans="1:6" x14ac:dyDescent="0.2">
      <c r="A21" s="6"/>
      <c r="B21" s="7"/>
      <c r="C21" s="7"/>
      <c r="D21" s="7"/>
      <c r="E21" s="7"/>
      <c r="F21" s="7"/>
    </row>
    <row r="22" spans="1:6" x14ac:dyDescent="0.2">
      <c r="A22" s="6"/>
      <c r="B22" s="7"/>
      <c r="C22" s="7"/>
      <c r="D22" s="7"/>
      <c r="E22" s="7"/>
      <c r="F22" s="7"/>
    </row>
  </sheetData>
  <sheetProtection sheet="1" objects="1" scenarios="1"/>
  <mergeCells count="12">
    <mergeCell ref="F13:F15"/>
    <mergeCell ref="F16:F18"/>
    <mergeCell ref="A1:F1"/>
    <mergeCell ref="A4:A6"/>
    <mergeCell ref="A7:A9"/>
    <mergeCell ref="A10:A12"/>
    <mergeCell ref="A13:A15"/>
    <mergeCell ref="A16:A18"/>
    <mergeCell ref="C2:E2"/>
    <mergeCell ref="F4:F6"/>
    <mergeCell ref="F7:F9"/>
    <mergeCell ref="F10:F12"/>
  </mergeCells>
  <phoneticPr fontId="1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54"/>
  <sheetViews>
    <sheetView showGridLines="0" workbookViewId="0">
      <selection activeCell="D5" sqref="D5"/>
    </sheetView>
  </sheetViews>
  <sheetFormatPr defaultRowHeight="12.75" x14ac:dyDescent="0.2"/>
  <cols>
    <col min="1" max="1" width="30.7109375" customWidth="1"/>
    <col min="2" max="3" width="6.710937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18" t="s">
        <v>132</v>
      </c>
      <c r="B1" s="119"/>
      <c r="C1" s="119"/>
      <c r="D1" s="119"/>
      <c r="E1" s="119"/>
      <c r="F1" s="119"/>
      <c r="G1" s="120"/>
    </row>
    <row r="2" spans="1:7" s="6" customFormat="1" ht="27" customHeight="1" thickBot="1" x14ac:dyDescent="0.4">
      <c r="A2" s="57"/>
      <c r="B2" s="125"/>
      <c r="C2" s="125"/>
      <c r="D2" s="125"/>
      <c r="E2" s="125"/>
      <c r="F2" s="125"/>
      <c r="G2" s="57"/>
    </row>
    <row r="3" spans="1:7" ht="17.25" customHeight="1" x14ac:dyDescent="0.3">
      <c r="A3" s="121" t="s">
        <v>122</v>
      </c>
      <c r="B3" s="116" t="s">
        <v>133</v>
      </c>
      <c r="C3" s="116" t="s">
        <v>134</v>
      </c>
      <c r="D3" s="45"/>
      <c r="E3" s="44" t="s">
        <v>72</v>
      </c>
      <c r="F3" s="45"/>
      <c r="G3" s="123" t="s">
        <v>76</v>
      </c>
    </row>
    <row r="4" spans="1:7" ht="16.5" x14ac:dyDescent="0.3">
      <c r="A4" s="122"/>
      <c r="B4" s="117"/>
      <c r="C4" s="117"/>
      <c r="D4" s="54" t="s">
        <v>73</v>
      </c>
      <c r="E4" s="54" t="s">
        <v>74</v>
      </c>
      <c r="F4" s="54" t="s">
        <v>75</v>
      </c>
      <c r="G4" s="124"/>
    </row>
    <row r="5" spans="1:7" ht="16.5" x14ac:dyDescent="0.2">
      <c r="A5" s="60"/>
      <c r="B5" s="56"/>
      <c r="C5" s="56"/>
      <c r="D5" s="59" t="str">
        <f>IF(AND(ISNUMBER($B5),ISNUMBER($C5)),IF(OR(AND($B5&lt;=19,$C5&lt;=5),AND($B5&lt;=50,$C5&lt;=1)),1,0)," ")</f>
        <v xml:space="preserve"> </v>
      </c>
      <c r="E5" s="59" t="str">
        <f>IF(AND(ISNUMBER($B5),ISNUMBER($C5)),IF(OR(AND($B5&gt;50,$C5&lt;=1),AND($B5&gt;19,$B5&lt;=50,$C5&gt;1,$C5&lt;=5),AND($B5&lt;=19,$C5&gt;5)),1,0)," ")</f>
        <v xml:space="preserve"> </v>
      </c>
      <c r="F5" s="59" t="str">
        <f>IF(AND(ISNUMBER($B5),ISNUMBER($C5)),IF(OR(AND($B5&gt;50,$C5&gt;1),AND($B5&gt;19,$C5&gt;5)),1,0)," ")</f>
        <v xml:space="preserve"> </v>
      </c>
      <c r="G5" s="61"/>
    </row>
    <row r="6" spans="1:7" ht="16.5" x14ac:dyDescent="0.2">
      <c r="A6" s="60"/>
      <c r="B6" s="56"/>
      <c r="C6" s="56"/>
      <c r="D6" s="59" t="str">
        <f t="shared" ref="D6:D9" si="0">IF(AND(ISNUMBER($B6),ISNUMBER($C6)),IF(OR(AND($B6&lt;=19,$C6&lt;=5),AND($B6&lt;=50,$C6&lt;=1)),1,0)," ")</f>
        <v xml:space="preserve"> </v>
      </c>
      <c r="E6" s="59" t="str">
        <f t="shared" ref="E6:E9" si="1">IF(AND(ISNUMBER($B6),ISNUMBER($C6)),IF(OR(AND($B6&gt;50,$C6&lt;=1),AND($B6&gt;19,$B6&lt;=50,$C6&gt;1,$C6&lt;=5),AND($B6&lt;=19,$C6&gt;5)),1,0)," ")</f>
        <v xml:space="preserve"> </v>
      </c>
      <c r="F6" s="59" t="str">
        <f t="shared" ref="F6:F9" si="2">IF(AND(ISNUMBER($B6),ISNUMBER($C6)),IF(OR(AND($B6&gt;50,$C6&gt;1),AND($B6&gt;19,$C6&gt;5)),1,0)," ")</f>
        <v xml:space="preserve"> </v>
      </c>
      <c r="G6" s="61"/>
    </row>
    <row r="7" spans="1:7" ht="16.5" x14ac:dyDescent="0.2">
      <c r="A7" s="60"/>
      <c r="B7" s="56" t="s">
        <v>0</v>
      </c>
      <c r="C7" s="56" t="s">
        <v>0</v>
      </c>
      <c r="D7" s="59" t="str">
        <f t="shared" si="0"/>
        <v xml:space="preserve"> </v>
      </c>
      <c r="E7" s="59" t="str">
        <f t="shared" si="1"/>
        <v xml:space="preserve"> </v>
      </c>
      <c r="F7" s="59" t="str">
        <f t="shared" si="2"/>
        <v xml:space="preserve"> </v>
      </c>
      <c r="G7" s="61"/>
    </row>
    <row r="8" spans="1:7" ht="16.5" x14ac:dyDescent="0.2">
      <c r="A8" s="60"/>
      <c r="B8" s="56" t="s">
        <v>0</v>
      </c>
      <c r="C8" s="56" t="s">
        <v>0</v>
      </c>
      <c r="D8" s="59" t="str">
        <f t="shared" si="0"/>
        <v xml:space="preserve"> </v>
      </c>
      <c r="E8" s="59" t="str">
        <f t="shared" si="1"/>
        <v xml:space="preserve"> </v>
      </c>
      <c r="F8" s="59" t="str">
        <f t="shared" si="2"/>
        <v xml:space="preserve"> </v>
      </c>
      <c r="G8" s="61"/>
    </row>
    <row r="9" spans="1:7" ht="17.25" thickBot="1" x14ac:dyDescent="0.25">
      <c r="A9" s="60"/>
      <c r="B9" s="56" t="s">
        <v>0</v>
      </c>
      <c r="C9" s="56" t="s">
        <v>0</v>
      </c>
      <c r="D9" s="59" t="str">
        <f t="shared" si="0"/>
        <v xml:space="preserve"> </v>
      </c>
      <c r="E9" s="59" t="str">
        <f t="shared" si="1"/>
        <v xml:space="preserve"> </v>
      </c>
      <c r="F9" s="59" t="str">
        <f t="shared" si="2"/>
        <v xml:space="preserve"> </v>
      </c>
      <c r="G9" s="61"/>
    </row>
    <row r="10" spans="1:7" ht="17.25" thickBot="1" x14ac:dyDescent="0.35">
      <c r="A10" s="67" t="s">
        <v>77</v>
      </c>
      <c r="B10" s="68"/>
      <c r="C10" s="68"/>
      <c r="D10" s="68">
        <f>SUM(D5:D9)</f>
        <v>0</v>
      </c>
      <c r="E10" s="68">
        <f>SUM(E5:E9)</f>
        <v>0</v>
      </c>
      <c r="F10" s="68">
        <f>SUM(F5:F9)</f>
        <v>0</v>
      </c>
      <c r="G10" s="69"/>
    </row>
    <row r="11" spans="1:7" x14ac:dyDescent="0.2">
      <c r="A11" s="6"/>
      <c r="B11" s="7"/>
      <c r="C11" s="7"/>
      <c r="D11" s="7"/>
      <c r="E11" s="7"/>
      <c r="F11" s="7"/>
      <c r="G11" s="6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  <row r="15" spans="1:7" x14ac:dyDescent="0.2">
      <c r="A15" s="6"/>
      <c r="B15" s="7"/>
      <c r="C15" s="7"/>
      <c r="D15" s="7"/>
      <c r="E15" s="7"/>
      <c r="F15" s="7"/>
      <c r="G15" s="6"/>
    </row>
    <row r="16" spans="1:7" x14ac:dyDescent="0.2">
      <c r="A16" s="6"/>
      <c r="B16" s="7"/>
      <c r="C16" s="7"/>
      <c r="D16" s="7"/>
      <c r="E16" s="7"/>
      <c r="F16" s="7"/>
      <c r="G16" s="6"/>
    </row>
    <row r="17" spans="1:7" x14ac:dyDescent="0.2">
      <c r="A17" s="6"/>
      <c r="B17" s="7"/>
      <c r="C17" s="7"/>
      <c r="D17" s="7"/>
      <c r="E17" s="7"/>
      <c r="F17" s="7"/>
      <c r="G17" s="6"/>
    </row>
    <row r="18" spans="1:7" x14ac:dyDescent="0.2">
      <c r="A18" s="6"/>
      <c r="B18" s="7"/>
      <c r="C18" s="7"/>
      <c r="D18" s="7"/>
      <c r="E18" s="7"/>
      <c r="F18" s="7"/>
      <c r="G18" s="6"/>
    </row>
    <row r="19" spans="1:7" x14ac:dyDescent="0.2">
      <c r="A19" s="6"/>
      <c r="B19" s="7"/>
      <c r="C19" s="7"/>
      <c r="D19" s="7"/>
      <c r="E19" s="7"/>
      <c r="F19" s="7"/>
      <c r="G19" s="6"/>
    </row>
    <row r="20" spans="1:7" x14ac:dyDescent="0.2">
      <c r="A20" s="6"/>
      <c r="B20" s="7"/>
      <c r="C20" s="7"/>
      <c r="D20" s="7"/>
      <c r="E20" s="7"/>
      <c r="F20" s="7"/>
      <c r="G20" s="6"/>
    </row>
    <row r="21" spans="1:7" x14ac:dyDescent="0.2">
      <c r="A21" s="6"/>
      <c r="B21" s="7"/>
      <c r="C21" s="7"/>
      <c r="D21" s="7"/>
      <c r="E21" s="7"/>
      <c r="F21" s="7"/>
      <c r="G21" s="6"/>
    </row>
    <row r="22" spans="1:7" x14ac:dyDescent="0.2">
      <c r="A22" s="6"/>
      <c r="B22" s="7"/>
      <c r="C22" s="7"/>
      <c r="D22" s="7"/>
      <c r="E22" s="7"/>
      <c r="F22" s="7"/>
      <c r="G22" s="6"/>
    </row>
    <row r="23" spans="1:7" x14ac:dyDescent="0.2">
      <c r="A23" s="6"/>
      <c r="B23" s="7"/>
      <c r="C23" s="7"/>
      <c r="D23" s="7"/>
      <c r="E23" s="7"/>
      <c r="F23" s="7"/>
      <c r="G23" s="6"/>
    </row>
    <row r="24" spans="1:7" x14ac:dyDescent="0.2">
      <c r="A24" s="6"/>
      <c r="B24" s="7"/>
      <c r="C24" s="7"/>
      <c r="D24" s="7"/>
      <c r="E24" s="7"/>
      <c r="F24" s="7"/>
      <c r="G24" s="6"/>
    </row>
    <row r="25" spans="1:7" x14ac:dyDescent="0.2">
      <c r="A25" s="6"/>
      <c r="B25" s="7"/>
      <c r="C25" s="7"/>
      <c r="D25" s="7"/>
      <c r="E25" s="7"/>
      <c r="F25" s="7"/>
      <c r="G25" s="6"/>
    </row>
    <row r="26" spans="1:7" x14ac:dyDescent="0.2">
      <c r="A26" s="6"/>
      <c r="B26" s="7"/>
      <c r="C26" s="7"/>
      <c r="D26" s="7"/>
      <c r="E26" s="7"/>
      <c r="F26" s="7"/>
      <c r="G26" s="6"/>
    </row>
    <row r="27" spans="1:7" x14ac:dyDescent="0.2">
      <c r="A27" s="6"/>
      <c r="B27" s="7"/>
      <c r="C27" s="7"/>
      <c r="D27" s="7"/>
      <c r="E27" s="7"/>
      <c r="F27" s="7"/>
      <c r="G27" s="6"/>
    </row>
    <row r="28" spans="1:7" x14ac:dyDescent="0.2">
      <c r="A28" s="6"/>
      <c r="B28" s="7"/>
      <c r="C28" s="7"/>
      <c r="D28" s="7"/>
      <c r="E28" s="7"/>
      <c r="F28" s="7"/>
      <c r="G28" s="6"/>
    </row>
    <row r="29" spans="1:7" x14ac:dyDescent="0.2">
      <c r="A29" s="6"/>
      <c r="B29" s="7"/>
      <c r="C29" s="7"/>
      <c r="D29" s="7"/>
      <c r="E29" s="7"/>
      <c r="F29" s="7"/>
      <c r="G29" s="6"/>
    </row>
    <row r="30" spans="1:7" x14ac:dyDescent="0.2">
      <c r="A30" s="6"/>
      <c r="B30" s="7"/>
      <c r="C30" s="7"/>
      <c r="D30" s="7"/>
      <c r="E30" s="7"/>
      <c r="F30" s="7"/>
      <c r="G30" s="6"/>
    </row>
    <row r="31" spans="1:7" x14ac:dyDescent="0.2">
      <c r="A31" s="6"/>
      <c r="B31" s="7"/>
      <c r="C31" s="7"/>
      <c r="D31" s="7"/>
      <c r="E31" s="7"/>
      <c r="F31" s="7"/>
      <c r="G31" s="6"/>
    </row>
    <row r="32" spans="1:7" x14ac:dyDescent="0.2">
      <c r="A32" s="6"/>
      <c r="B32" s="7"/>
      <c r="C32" s="7"/>
      <c r="D32" s="7"/>
      <c r="E32" s="7"/>
      <c r="F32" s="7"/>
      <c r="G32" s="6"/>
    </row>
    <row r="33" spans="1:7" x14ac:dyDescent="0.2">
      <c r="A33" s="6"/>
      <c r="B33" s="7"/>
      <c r="C33" s="7"/>
      <c r="D33" s="7"/>
      <c r="E33" s="7"/>
      <c r="F33" s="7"/>
      <c r="G33" s="6"/>
    </row>
    <row r="34" spans="1:7" x14ac:dyDescent="0.2">
      <c r="A34" s="6"/>
      <c r="B34" s="7"/>
      <c r="C34" s="7"/>
      <c r="D34" s="7"/>
      <c r="E34" s="7"/>
      <c r="F34" s="7"/>
      <c r="G34" s="6"/>
    </row>
    <row r="35" spans="1:7" x14ac:dyDescent="0.2">
      <c r="A35" s="6"/>
      <c r="B35" s="7"/>
      <c r="C35" s="7"/>
      <c r="D35" s="7"/>
      <c r="E35" s="7"/>
      <c r="F35" s="7"/>
      <c r="G35" s="6"/>
    </row>
    <row r="36" spans="1:7" x14ac:dyDescent="0.2">
      <c r="A36" s="6"/>
      <c r="B36" s="7"/>
      <c r="C36" s="7"/>
      <c r="D36" s="7"/>
      <c r="E36" s="7"/>
      <c r="F36" s="7"/>
      <c r="G36" s="6"/>
    </row>
    <row r="37" spans="1:7" x14ac:dyDescent="0.2">
      <c r="A37" s="6"/>
      <c r="B37" s="7"/>
      <c r="C37" s="7"/>
      <c r="D37" s="7"/>
      <c r="E37" s="7"/>
      <c r="F37" s="7"/>
      <c r="G37" s="6"/>
    </row>
    <row r="38" spans="1:7" x14ac:dyDescent="0.2">
      <c r="A38" s="6"/>
      <c r="B38" s="7"/>
      <c r="C38" s="7"/>
      <c r="D38" s="7"/>
      <c r="E38" s="7"/>
      <c r="F38" s="7"/>
      <c r="G38" s="6"/>
    </row>
    <row r="39" spans="1:7" x14ac:dyDescent="0.2">
      <c r="A39" s="6"/>
      <c r="B39" s="7"/>
      <c r="C39" s="7"/>
      <c r="D39" s="7"/>
      <c r="E39" s="7"/>
      <c r="F39" s="7"/>
      <c r="G39" s="6"/>
    </row>
    <row r="40" spans="1:7" x14ac:dyDescent="0.2">
      <c r="A40" s="6"/>
      <c r="B40" s="7"/>
      <c r="C40" s="7"/>
      <c r="D40" s="7"/>
      <c r="E40" s="7"/>
      <c r="F40" s="7"/>
      <c r="G40" s="6"/>
    </row>
    <row r="41" spans="1:7" x14ac:dyDescent="0.2">
      <c r="A41" s="6"/>
      <c r="B41" s="7"/>
      <c r="C41" s="7"/>
      <c r="D41" s="7"/>
      <c r="E41" s="7"/>
      <c r="F41" s="7"/>
      <c r="G41" s="6"/>
    </row>
    <row r="42" spans="1:7" x14ac:dyDescent="0.2">
      <c r="A42" s="6"/>
      <c r="B42" s="7"/>
      <c r="C42" s="7"/>
      <c r="D42" s="7"/>
      <c r="E42" s="7"/>
      <c r="F42" s="7"/>
      <c r="G42" s="6"/>
    </row>
    <row r="43" spans="1:7" x14ac:dyDescent="0.2">
      <c r="A43" s="6"/>
      <c r="B43" s="7"/>
      <c r="C43" s="7"/>
      <c r="D43" s="7"/>
      <c r="E43" s="7"/>
      <c r="F43" s="7"/>
      <c r="G43" s="6"/>
    </row>
    <row r="44" spans="1:7" x14ac:dyDescent="0.2">
      <c r="A44" s="6"/>
      <c r="B44" s="7"/>
      <c r="C44" s="7"/>
      <c r="D44" s="7"/>
      <c r="E44" s="7"/>
      <c r="F44" s="7"/>
      <c r="G44" s="6"/>
    </row>
    <row r="45" spans="1:7" x14ac:dyDescent="0.2">
      <c r="A45" s="6"/>
      <c r="B45" s="7"/>
      <c r="C45" s="7"/>
      <c r="D45" s="7"/>
      <c r="E45" s="7"/>
      <c r="F45" s="7"/>
      <c r="G45" s="6"/>
    </row>
    <row r="46" spans="1:7" x14ac:dyDescent="0.2">
      <c r="A46" s="6"/>
      <c r="B46" s="7"/>
      <c r="C46" s="7"/>
      <c r="D46" s="7"/>
      <c r="E46" s="7"/>
      <c r="F46" s="7"/>
      <c r="G46" s="6"/>
    </row>
    <row r="47" spans="1:7" x14ac:dyDescent="0.2">
      <c r="A47" s="6"/>
      <c r="B47" s="7"/>
      <c r="C47" s="7"/>
      <c r="D47" s="7"/>
      <c r="E47" s="7"/>
      <c r="F47" s="7"/>
      <c r="G47" s="6"/>
    </row>
    <row r="48" spans="1:7" x14ac:dyDescent="0.2">
      <c r="A48" s="6"/>
      <c r="B48" s="7"/>
      <c r="C48" s="7"/>
      <c r="D48" s="7"/>
      <c r="E48" s="7"/>
      <c r="F48" s="7"/>
      <c r="G48" s="6"/>
    </row>
    <row r="49" spans="1:7" x14ac:dyDescent="0.2">
      <c r="A49" s="6"/>
      <c r="B49" s="7"/>
      <c r="C49" s="7"/>
      <c r="D49" s="7"/>
      <c r="E49" s="7"/>
      <c r="F49" s="7"/>
      <c r="G49" s="6"/>
    </row>
    <row r="50" spans="1:7" x14ac:dyDescent="0.2">
      <c r="A50" s="6"/>
      <c r="B50" s="7"/>
      <c r="C50" s="7"/>
      <c r="D50" s="7"/>
      <c r="E50" s="7"/>
      <c r="F50" s="7"/>
      <c r="G50" s="6"/>
    </row>
    <row r="51" spans="1:7" x14ac:dyDescent="0.2">
      <c r="A51" s="6"/>
      <c r="B51" s="7"/>
      <c r="C51" s="7"/>
      <c r="D51" s="7"/>
      <c r="E51" s="7"/>
      <c r="F51" s="7"/>
      <c r="G51" s="6"/>
    </row>
    <row r="52" spans="1:7" x14ac:dyDescent="0.2">
      <c r="A52" s="6"/>
      <c r="B52" s="7"/>
      <c r="C52" s="7"/>
      <c r="D52" s="7"/>
      <c r="E52" s="7"/>
      <c r="F52" s="7"/>
      <c r="G52" s="6"/>
    </row>
    <row r="53" spans="1:7" x14ac:dyDescent="0.2">
      <c r="A53" s="6"/>
      <c r="B53" s="7"/>
      <c r="C53" s="7"/>
      <c r="D53" s="7"/>
      <c r="E53" s="7"/>
      <c r="F53" s="7"/>
      <c r="G53" s="6"/>
    </row>
    <row r="54" spans="1:7" x14ac:dyDescent="0.2">
      <c r="A54" s="6"/>
      <c r="B54" s="7"/>
      <c r="C54" s="7"/>
      <c r="D54" s="7"/>
      <c r="E54" s="7"/>
      <c r="F54" s="7"/>
      <c r="G54" s="6"/>
    </row>
  </sheetData>
  <sheetProtection sheet="1" objects="1" scenarios="1"/>
  <mergeCells count="6">
    <mergeCell ref="B3:B4"/>
    <mergeCell ref="C3:C4"/>
    <mergeCell ref="A1:G1"/>
    <mergeCell ref="A3:A4"/>
    <mergeCell ref="G3:G4"/>
    <mergeCell ref="B2:F2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54"/>
  <sheetViews>
    <sheetView showGridLines="0" workbookViewId="0">
      <selection activeCell="A8" sqref="A8:XFD8"/>
    </sheetView>
  </sheetViews>
  <sheetFormatPr defaultRowHeight="12.75" x14ac:dyDescent="0.2"/>
  <cols>
    <col min="1" max="1" width="30.7109375" customWidth="1"/>
    <col min="2" max="2" width="6.28515625" style="1" customWidth="1"/>
    <col min="3" max="3" width="6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18" t="s">
        <v>158</v>
      </c>
      <c r="B1" s="119"/>
      <c r="C1" s="119"/>
      <c r="D1" s="119"/>
      <c r="E1" s="119"/>
      <c r="F1" s="119"/>
      <c r="G1" s="120"/>
    </row>
    <row r="2" spans="1:7" ht="27" customHeight="1" thickBot="1" x14ac:dyDescent="0.25">
      <c r="A2" s="10"/>
      <c r="B2" s="128"/>
      <c r="C2" s="128"/>
      <c r="D2" s="128"/>
      <c r="E2" s="128"/>
      <c r="F2" s="128"/>
      <c r="G2" s="10"/>
    </row>
    <row r="3" spans="1:7" ht="17.25" customHeight="1" x14ac:dyDescent="0.3">
      <c r="A3" s="121" t="s">
        <v>129</v>
      </c>
      <c r="B3" s="116" t="s">
        <v>131</v>
      </c>
      <c r="C3" s="116" t="s">
        <v>130</v>
      </c>
      <c r="D3" s="45"/>
      <c r="E3" s="44" t="s">
        <v>125</v>
      </c>
      <c r="F3" s="45"/>
      <c r="G3" s="123" t="s">
        <v>76</v>
      </c>
    </row>
    <row r="4" spans="1:7" ht="18" customHeight="1" x14ac:dyDescent="0.3">
      <c r="A4" s="126" t="s">
        <v>71</v>
      </c>
      <c r="B4" s="117"/>
      <c r="C4" s="117"/>
      <c r="D4" s="70" t="s">
        <v>126</v>
      </c>
      <c r="E4" s="70" t="s">
        <v>127</v>
      </c>
      <c r="F4" s="70" t="s">
        <v>128</v>
      </c>
      <c r="G4" s="127" t="s">
        <v>80</v>
      </c>
    </row>
    <row r="5" spans="1:7" s="5" customFormat="1" ht="16.5" x14ac:dyDescent="0.2">
      <c r="A5" s="60" t="s">
        <v>0</v>
      </c>
      <c r="B5" s="56"/>
      <c r="C5" s="56"/>
      <c r="D5" s="59" t="str">
        <f>IF(AND(ISNUMBER($B5),ISNUMBER($C5)),IF(OR(AND($B5&lt;=19,$C5&lt;=5),AND($B5&lt;=50,$C5&lt;=1)),1,0)," ")</f>
        <v xml:space="preserve"> </v>
      </c>
      <c r="E5" s="59" t="str">
        <f>IF(AND(ISNUMBER($B5),ISNUMBER($C5)),IF(OR(AND($B5&gt;50,$C5&lt;=1),AND($B5&gt;19,$B5&lt;=50,$C5&gt;1,$C5&lt;=5),AND($B5&lt;=19,$C5&gt;5)),1,0)," ")</f>
        <v xml:space="preserve"> </v>
      </c>
      <c r="F5" s="59" t="str">
        <f t="shared" ref="F5:F9" si="0">IF(AND(ISNUMBER($B5),ISNUMBER($C5)),IF(OR(AND($B5&gt;50,$C5&gt;1),AND($B5&gt;19,$C5&gt;5)),1,0)," ")</f>
        <v xml:space="preserve"> </v>
      </c>
      <c r="G5" s="61"/>
    </row>
    <row r="6" spans="1:7" s="5" customFormat="1" ht="16.5" x14ac:dyDescent="0.2">
      <c r="A6" s="64"/>
      <c r="B6" s="58"/>
      <c r="C6" s="58"/>
      <c r="D6" s="65"/>
      <c r="E6" s="65"/>
      <c r="F6" s="65"/>
      <c r="G6" s="66"/>
    </row>
    <row r="7" spans="1:7" ht="16.5" x14ac:dyDescent="0.2">
      <c r="A7" s="64" t="s">
        <v>0</v>
      </c>
      <c r="B7" s="58"/>
      <c r="C7" s="58"/>
      <c r="D7" s="65" t="str">
        <f t="shared" ref="D7:D9" si="1">IF(AND(ISNUMBER($B7),ISNUMBER($C7)),IF(OR(AND($B7&lt;=19,$C7&lt;=5),AND($B7&lt;=50,$C7&lt;=1)),1,0)," ")</f>
        <v xml:space="preserve"> </v>
      </c>
      <c r="E7" s="65" t="str">
        <f t="shared" ref="E7:E9" si="2">IF(AND(ISNUMBER($B7),ISNUMBER($C7)),IF(OR(AND($B7&gt;50,$C7&lt;=1),AND($B7&gt;19,$B7&lt;=50,$C7&gt;1,$C7&lt;=5),AND($B7&lt;=19,$C7&gt;5)),1,0)," ")</f>
        <v xml:space="preserve"> </v>
      </c>
      <c r="F7" s="65" t="str">
        <f t="shared" si="0"/>
        <v xml:space="preserve"> </v>
      </c>
      <c r="G7" s="66"/>
    </row>
    <row r="8" spans="1:7" ht="16.5" x14ac:dyDescent="0.2">
      <c r="A8" s="60" t="s">
        <v>0</v>
      </c>
      <c r="B8" s="56" t="s">
        <v>0</v>
      </c>
      <c r="C8" s="56" t="s">
        <v>0</v>
      </c>
      <c r="D8" s="59" t="str">
        <f t="shared" si="1"/>
        <v xml:space="preserve"> </v>
      </c>
      <c r="E8" s="59" t="str">
        <f t="shared" si="2"/>
        <v xml:space="preserve"> </v>
      </c>
      <c r="F8" s="59" t="str">
        <f t="shared" si="0"/>
        <v xml:space="preserve"> </v>
      </c>
      <c r="G8" s="61"/>
    </row>
    <row r="9" spans="1:7" ht="17.25" thickBot="1" x14ac:dyDescent="0.25">
      <c r="A9" s="60" t="s">
        <v>0</v>
      </c>
      <c r="B9" s="56" t="s">
        <v>0</v>
      </c>
      <c r="C9" s="56" t="s">
        <v>0</v>
      </c>
      <c r="D9" s="59" t="str">
        <f t="shared" si="1"/>
        <v xml:space="preserve"> </v>
      </c>
      <c r="E9" s="59" t="str">
        <f t="shared" si="2"/>
        <v xml:space="preserve"> </v>
      </c>
      <c r="F9" s="59" t="str">
        <f t="shared" si="0"/>
        <v xml:space="preserve"> </v>
      </c>
      <c r="G9" s="61"/>
    </row>
    <row r="10" spans="1:7" ht="17.25" thickBot="1" x14ac:dyDescent="0.35">
      <c r="A10" s="67" t="s">
        <v>124</v>
      </c>
      <c r="B10" s="68"/>
      <c r="C10" s="68"/>
      <c r="D10" s="68">
        <f>SUM(D5:D9)</f>
        <v>0</v>
      </c>
      <c r="E10" s="68">
        <f>SUM(E5:E9)</f>
        <v>0</v>
      </c>
      <c r="F10" s="68">
        <f>SUM(F5:F9)</f>
        <v>0</v>
      </c>
      <c r="G10" s="69"/>
    </row>
    <row r="11" spans="1:7" x14ac:dyDescent="0.2">
      <c r="A11" s="6"/>
      <c r="B11" s="7"/>
      <c r="C11" s="7"/>
      <c r="D11" s="7"/>
      <c r="E11" s="7"/>
      <c r="F11" s="7"/>
      <c r="G11" s="6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  <row r="15" spans="1:7" x14ac:dyDescent="0.2">
      <c r="A15" s="6"/>
      <c r="B15" s="7"/>
      <c r="C15" s="7"/>
      <c r="D15" s="7"/>
      <c r="E15" s="7"/>
      <c r="F15" s="7"/>
      <c r="G15" s="6"/>
    </row>
    <row r="16" spans="1:7" x14ac:dyDescent="0.2">
      <c r="A16" s="6"/>
      <c r="B16" s="7"/>
      <c r="C16" s="7"/>
      <c r="D16" s="7"/>
      <c r="E16" s="7"/>
      <c r="F16" s="7"/>
      <c r="G16" s="6"/>
    </row>
    <row r="17" spans="1:7" x14ac:dyDescent="0.2">
      <c r="A17" s="6"/>
      <c r="B17" s="7"/>
      <c r="C17" s="7"/>
      <c r="D17" s="7"/>
      <c r="E17" s="7"/>
      <c r="F17" s="7"/>
      <c r="G17" s="6"/>
    </row>
    <row r="18" spans="1:7" x14ac:dyDescent="0.2">
      <c r="A18" s="6"/>
      <c r="B18" s="7"/>
      <c r="C18" s="7"/>
      <c r="D18" s="7"/>
      <c r="E18" s="7"/>
      <c r="F18" s="7"/>
      <c r="G18" s="6"/>
    </row>
    <row r="19" spans="1:7" x14ac:dyDescent="0.2">
      <c r="A19" s="6"/>
      <c r="B19" s="7"/>
      <c r="C19" s="7"/>
      <c r="D19" s="7"/>
      <c r="E19" s="7"/>
      <c r="F19" s="7"/>
      <c r="G19" s="6"/>
    </row>
    <row r="20" spans="1:7" x14ac:dyDescent="0.2">
      <c r="A20" s="6"/>
      <c r="B20" s="7"/>
      <c r="C20" s="7"/>
      <c r="D20" s="7"/>
      <c r="E20" s="7"/>
      <c r="F20" s="7"/>
      <c r="G20" s="6"/>
    </row>
    <row r="21" spans="1:7" x14ac:dyDescent="0.2">
      <c r="A21" s="6"/>
      <c r="B21" s="7"/>
      <c r="C21" s="7"/>
      <c r="D21" s="7"/>
      <c r="E21" s="7"/>
      <c r="F21" s="7"/>
      <c r="G21" s="6"/>
    </row>
    <row r="22" spans="1:7" x14ac:dyDescent="0.2">
      <c r="A22" s="6"/>
      <c r="B22" s="7"/>
      <c r="C22" s="7"/>
      <c r="D22" s="7"/>
      <c r="E22" s="7"/>
      <c r="F22" s="7"/>
      <c r="G22" s="6"/>
    </row>
    <row r="23" spans="1:7" x14ac:dyDescent="0.2">
      <c r="A23" s="6"/>
      <c r="B23" s="7"/>
      <c r="C23" s="7"/>
      <c r="D23" s="7"/>
      <c r="E23" s="7"/>
      <c r="F23" s="7"/>
      <c r="G23" s="6"/>
    </row>
    <row r="24" spans="1:7" x14ac:dyDescent="0.2">
      <c r="A24" s="6"/>
      <c r="B24" s="7"/>
      <c r="C24" s="7"/>
      <c r="D24" s="7"/>
      <c r="E24" s="7"/>
      <c r="F24" s="7"/>
      <c r="G24" s="6"/>
    </row>
    <row r="25" spans="1:7" x14ac:dyDescent="0.2">
      <c r="A25" s="6"/>
      <c r="B25" s="7"/>
      <c r="C25" s="7"/>
      <c r="D25" s="7"/>
      <c r="E25" s="7"/>
      <c r="F25" s="7"/>
      <c r="G25" s="6"/>
    </row>
    <row r="26" spans="1:7" x14ac:dyDescent="0.2">
      <c r="A26" s="6"/>
      <c r="B26" s="7"/>
      <c r="C26" s="7"/>
      <c r="D26" s="7"/>
      <c r="E26" s="7"/>
      <c r="F26" s="7"/>
      <c r="G26" s="6"/>
    </row>
    <row r="27" spans="1:7" x14ac:dyDescent="0.2">
      <c r="A27" s="6"/>
      <c r="B27" s="7"/>
      <c r="C27" s="7"/>
      <c r="D27" s="7"/>
      <c r="E27" s="7"/>
      <c r="F27" s="7"/>
      <c r="G27" s="6"/>
    </row>
    <row r="28" spans="1:7" x14ac:dyDescent="0.2">
      <c r="A28" s="6"/>
      <c r="B28" s="7"/>
      <c r="C28" s="7"/>
      <c r="D28" s="7"/>
      <c r="E28" s="7"/>
      <c r="F28" s="7"/>
      <c r="G28" s="6"/>
    </row>
    <row r="29" spans="1:7" x14ac:dyDescent="0.2">
      <c r="A29" s="6"/>
      <c r="B29" s="7"/>
      <c r="C29" s="7"/>
      <c r="D29" s="7"/>
      <c r="E29" s="7"/>
      <c r="F29" s="7"/>
      <c r="G29" s="6"/>
    </row>
    <row r="30" spans="1:7" x14ac:dyDescent="0.2">
      <c r="A30" s="6"/>
      <c r="B30" s="7"/>
      <c r="C30" s="7"/>
      <c r="D30" s="7"/>
      <c r="E30" s="7"/>
      <c r="F30" s="7"/>
      <c r="G30" s="6"/>
    </row>
    <row r="31" spans="1:7" x14ac:dyDescent="0.2">
      <c r="A31" s="6"/>
      <c r="B31" s="7"/>
      <c r="C31" s="7"/>
      <c r="D31" s="7"/>
      <c r="E31" s="7"/>
      <c r="F31" s="7"/>
      <c r="G31" s="6"/>
    </row>
    <row r="32" spans="1:7" x14ac:dyDescent="0.2">
      <c r="A32" s="6"/>
      <c r="B32" s="7"/>
      <c r="C32" s="7"/>
      <c r="D32" s="7"/>
      <c r="E32" s="7"/>
      <c r="F32" s="7"/>
      <c r="G32" s="6"/>
    </row>
    <row r="33" spans="1:7" x14ac:dyDescent="0.2">
      <c r="A33" s="6"/>
      <c r="B33" s="7"/>
      <c r="C33" s="7"/>
      <c r="D33" s="7"/>
      <c r="E33" s="7"/>
      <c r="F33" s="7"/>
      <c r="G33" s="6"/>
    </row>
    <row r="34" spans="1:7" x14ac:dyDescent="0.2">
      <c r="A34" s="6"/>
      <c r="B34" s="7"/>
      <c r="C34" s="7"/>
      <c r="D34" s="7"/>
      <c r="E34" s="7"/>
      <c r="F34" s="7"/>
      <c r="G34" s="6"/>
    </row>
    <row r="35" spans="1:7" x14ac:dyDescent="0.2">
      <c r="A35" s="6"/>
      <c r="B35" s="7"/>
      <c r="C35" s="7"/>
      <c r="D35" s="7"/>
      <c r="E35" s="7"/>
      <c r="F35" s="7"/>
      <c r="G35" s="6"/>
    </row>
    <row r="36" spans="1:7" x14ac:dyDescent="0.2">
      <c r="A36" s="6"/>
      <c r="B36" s="7"/>
      <c r="C36" s="7"/>
      <c r="D36" s="7"/>
      <c r="E36" s="7"/>
      <c r="F36" s="7"/>
      <c r="G36" s="6"/>
    </row>
    <row r="37" spans="1:7" x14ac:dyDescent="0.2">
      <c r="A37" s="6"/>
      <c r="B37" s="7"/>
      <c r="C37" s="7"/>
      <c r="D37" s="7"/>
      <c r="E37" s="7"/>
      <c r="F37" s="7"/>
      <c r="G37" s="6"/>
    </row>
    <row r="38" spans="1:7" x14ac:dyDescent="0.2">
      <c r="A38" s="6"/>
      <c r="B38" s="7"/>
      <c r="C38" s="7"/>
      <c r="D38" s="7"/>
      <c r="E38" s="7"/>
      <c r="F38" s="7"/>
      <c r="G38" s="6"/>
    </row>
    <row r="39" spans="1:7" x14ac:dyDescent="0.2">
      <c r="A39" s="6"/>
      <c r="B39" s="7"/>
      <c r="C39" s="7"/>
      <c r="D39" s="7"/>
      <c r="E39" s="7"/>
      <c r="F39" s="7"/>
      <c r="G39" s="6"/>
    </row>
    <row r="40" spans="1:7" x14ac:dyDescent="0.2">
      <c r="A40" s="6"/>
      <c r="B40" s="7"/>
      <c r="C40" s="7"/>
      <c r="D40" s="7"/>
      <c r="E40" s="7"/>
      <c r="F40" s="7"/>
      <c r="G40" s="6"/>
    </row>
    <row r="41" spans="1:7" x14ac:dyDescent="0.2">
      <c r="A41" s="6"/>
      <c r="B41" s="7"/>
      <c r="C41" s="7"/>
      <c r="D41" s="7"/>
      <c r="E41" s="7"/>
      <c r="F41" s="7"/>
      <c r="G41" s="6"/>
    </row>
    <row r="42" spans="1:7" x14ac:dyDescent="0.2">
      <c r="A42" s="6"/>
      <c r="B42" s="7"/>
      <c r="C42" s="7"/>
      <c r="D42" s="7"/>
      <c r="E42" s="7"/>
      <c r="F42" s="7"/>
      <c r="G42" s="6"/>
    </row>
    <row r="43" spans="1:7" x14ac:dyDescent="0.2">
      <c r="A43" s="6"/>
      <c r="B43" s="7"/>
      <c r="C43" s="7"/>
      <c r="D43" s="7"/>
      <c r="E43" s="7"/>
      <c r="F43" s="7"/>
      <c r="G43" s="6"/>
    </row>
    <row r="44" spans="1:7" x14ac:dyDescent="0.2">
      <c r="A44" s="6"/>
      <c r="B44" s="7"/>
      <c r="C44" s="7"/>
      <c r="D44" s="7"/>
      <c r="E44" s="7"/>
      <c r="F44" s="7"/>
      <c r="G44" s="6"/>
    </row>
    <row r="45" spans="1:7" x14ac:dyDescent="0.2">
      <c r="A45" s="6"/>
      <c r="B45" s="7"/>
      <c r="C45" s="7"/>
      <c r="D45" s="7"/>
      <c r="E45" s="7"/>
      <c r="F45" s="7"/>
      <c r="G45" s="6"/>
    </row>
    <row r="46" spans="1:7" x14ac:dyDescent="0.2">
      <c r="A46" s="6"/>
      <c r="B46" s="7"/>
      <c r="C46" s="7"/>
      <c r="D46" s="7"/>
      <c r="E46" s="7"/>
      <c r="F46" s="7"/>
      <c r="G46" s="6"/>
    </row>
    <row r="47" spans="1:7" x14ac:dyDescent="0.2">
      <c r="A47" s="6"/>
      <c r="B47" s="7"/>
      <c r="C47" s="7"/>
      <c r="D47" s="7"/>
      <c r="E47" s="7"/>
      <c r="F47" s="7"/>
      <c r="G47" s="6"/>
    </row>
    <row r="48" spans="1:7" x14ac:dyDescent="0.2">
      <c r="A48" s="6"/>
      <c r="B48" s="7"/>
      <c r="C48" s="7"/>
      <c r="D48" s="7"/>
      <c r="E48" s="7"/>
      <c r="F48" s="7"/>
      <c r="G48" s="6"/>
    </row>
    <row r="49" spans="1:7" x14ac:dyDescent="0.2">
      <c r="A49" s="6"/>
      <c r="B49" s="7"/>
      <c r="C49" s="7"/>
      <c r="D49" s="7"/>
      <c r="E49" s="7"/>
      <c r="F49" s="7"/>
      <c r="G49" s="6"/>
    </row>
    <row r="50" spans="1:7" x14ac:dyDescent="0.2">
      <c r="A50" s="6"/>
      <c r="B50" s="7"/>
      <c r="C50" s="7"/>
      <c r="D50" s="7"/>
      <c r="E50" s="7"/>
      <c r="F50" s="7"/>
      <c r="G50" s="6"/>
    </row>
    <row r="51" spans="1:7" x14ac:dyDescent="0.2">
      <c r="A51" s="6"/>
      <c r="B51" s="7"/>
      <c r="C51" s="7"/>
      <c r="D51" s="7"/>
      <c r="E51" s="7"/>
      <c r="F51" s="7"/>
      <c r="G51" s="6"/>
    </row>
    <row r="52" spans="1:7" x14ac:dyDescent="0.2">
      <c r="A52" s="6"/>
      <c r="B52" s="7"/>
      <c r="C52" s="7"/>
      <c r="D52" s="7"/>
      <c r="E52" s="7"/>
      <c r="F52" s="7"/>
      <c r="G52" s="6"/>
    </row>
    <row r="53" spans="1:7" x14ac:dyDescent="0.2">
      <c r="A53" s="6"/>
      <c r="B53" s="7"/>
      <c r="C53" s="7"/>
      <c r="D53" s="7"/>
      <c r="E53" s="7"/>
      <c r="F53" s="7"/>
      <c r="G53" s="6"/>
    </row>
    <row r="54" spans="1:7" x14ac:dyDescent="0.2">
      <c r="A54" s="6"/>
      <c r="B54" s="7"/>
      <c r="C54" s="7"/>
      <c r="D54" s="7"/>
      <c r="E54" s="7"/>
      <c r="F54" s="7"/>
      <c r="G54" s="6"/>
    </row>
  </sheetData>
  <sheetProtection sheet="1" objects="1" scenarios="1"/>
  <mergeCells count="6">
    <mergeCell ref="B3:B4"/>
    <mergeCell ref="C3:C4"/>
    <mergeCell ref="A1:G1"/>
    <mergeCell ref="A3:A4"/>
    <mergeCell ref="G3:G4"/>
    <mergeCell ref="B2:F2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14"/>
  <sheetViews>
    <sheetView showGridLines="0" workbookViewId="0">
      <selection activeCell="A8" sqref="A8:XFD8"/>
    </sheetView>
  </sheetViews>
  <sheetFormatPr defaultRowHeight="12.75" x14ac:dyDescent="0.2"/>
  <cols>
    <col min="1" max="1" width="30.7109375" customWidth="1"/>
    <col min="2" max="3" width="6.4257812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29" t="s">
        <v>157</v>
      </c>
      <c r="B1" s="119"/>
      <c r="C1" s="119"/>
      <c r="D1" s="119"/>
      <c r="E1" s="119"/>
      <c r="F1" s="119"/>
      <c r="G1" s="120"/>
    </row>
    <row r="2" spans="1:7" ht="27" customHeight="1" thickBot="1" x14ac:dyDescent="0.25">
      <c r="A2" s="10"/>
      <c r="B2" s="128"/>
      <c r="C2" s="128"/>
      <c r="D2" s="128"/>
      <c r="E2" s="128"/>
      <c r="F2" s="128"/>
      <c r="G2" s="10"/>
    </row>
    <row r="3" spans="1:7" ht="14.25" customHeight="1" x14ac:dyDescent="0.3">
      <c r="A3" s="121" t="s">
        <v>140</v>
      </c>
      <c r="B3" s="116" t="s">
        <v>135</v>
      </c>
      <c r="C3" s="116" t="s">
        <v>136</v>
      </c>
      <c r="D3" s="45"/>
      <c r="E3" s="44" t="s">
        <v>125</v>
      </c>
      <c r="F3" s="45"/>
      <c r="G3" s="123" t="s">
        <v>141</v>
      </c>
    </row>
    <row r="4" spans="1:7" ht="16.5" x14ac:dyDescent="0.3">
      <c r="A4" s="122" t="s">
        <v>137</v>
      </c>
      <c r="B4" s="117"/>
      <c r="C4" s="117"/>
      <c r="D4" s="54" t="s">
        <v>123</v>
      </c>
      <c r="E4" s="54" t="s">
        <v>68</v>
      </c>
      <c r="F4" s="54" t="s">
        <v>138</v>
      </c>
      <c r="G4" s="124" t="s">
        <v>139</v>
      </c>
    </row>
    <row r="5" spans="1:7" ht="16.5" x14ac:dyDescent="0.2">
      <c r="A5" s="60" t="s">
        <v>0</v>
      </c>
      <c r="B5" s="56"/>
      <c r="C5" s="56"/>
      <c r="D5" s="59" t="str">
        <f>IF(AND(ISNUMBER($B5),ISNUMBER($C5)),IF(OR(AND($B5&lt;=15,$C5&lt;=1),AND($B5&lt;=4,$C5&lt;=2)),1,0)," ")</f>
        <v xml:space="preserve"> </v>
      </c>
      <c r="E5" s="59" t="str">
        <f>IF(AND(ISNUMBER($B5),ISNUMBER($C5)),IF(OR(AND($B5&gt;15,$C5&lt;=1),AND($B5&gt;4,$B5&lt;=15,$C5&gt;1,$C5&lt;=2),AND($B5&lt;=4,$C5&gt;2)),1,0)," ")</f>
        <v xml:space="preserve"> </v>
      </c>
      <c r="F5" s="59" t="str">
        <f>IF(AND(ISNUMBER($B5),ISNUMBER($C5)),IF(OR(AND($B5&gt;4,$C5&gt;2),AND($B5&gt;15,$C5&gt;1)),1,0)," ")</f>
        <v xml:space="preserve"> </v>
      </c>
      <c r="G5" s="61"/>
    </row>
    <row r="6" spans="1:7" ht="16.5" x14ac:dyDescent="0.2">
      <c r="A6" s="60" t="s">
        <v>0</v>
      </c>
      <c r="B6" s="56"/>
      <c r="C6" s="56"/>
      <c r="D6" s="59" t="str">
        <f t="shared" ref="D6:D9" si="0">IF(AND(ISNUMBER($B6),ISNUMBER($C6)),IF(OR(AND($B6&lt;=15,$C6&lt;=1),AND($B6&lt;=4,$C6&lt;=2)),1,0)," ")</f>
        <v xml:space="preserve"> </v>
      </c>
      <c r="E6" s="59" t="str">
        <f t="shared" ref="E6:E9" si="1">IF(AND(ISNUMBER($B6),ISNUMBER($C6)),IF(OR(AND($B6&gt;15,$C6&lt;=1),AND($B6&gt;4,$B6&lt;=15,$C6&gt;1,$C6&lt;=2),AND($B6&lt;=4,$C6&gt;2)),1,0)," ")</f>
        <v xml:space="preserve"> </v>
      </c>
      <c r="F6" s="59" t="str">
        <f t="shared" ref="F6:F9" si="2">IF(AND(ISNUMBER($B6),ISNUMBER($C6)),IF(OR(AND($B6&gt;4,$C6&gt;2),AND($B6&gt;15,$C6&gt;1)),1,0)," ")</f>
        <v xml:space="preserve"> </v>
      </c>
      <c r="G6" s="61"/>
    </row>
    <row r="7" spans="1:7" ht="16.5" x14ac:dyDescent="0.2">
      <c r="A7" s="60" t="s">
        <v>0</v>
      </c>
      <c r="B7" s="56" t="s">
        <v>0</v>
      </c>
      <c r="C7" s="56" t="s">
        <v>0</v>
      </c>
      <c r="D7" s="59" t="str">
        <f t="shared" si="0"/>
        <v xml:space="preserve"> </v>
      </c>
      <c r="E7" s="59" t="str">
        <f t="shared" si="1"/>
        <v xml:space="preserve"> </v>
      </c>
      <c r="F7" s="59" t="str">
        <f t="shared" si="2"/>
        <v xml:space="preserve"> </v>
      </c>
      <c r="G7" s="61"/>
    </row>
    <row r="8" spans="1:7" ht="16.5" x14ac:dyDescent="0.2">
      <c r="A8" s="60" t="s">
        <v>0</v>
      </c>
      <c r="B8" s="56" t="s">
        <v>0</v>
      </c>
      <c r="C8" s="56" t="s">
        <v>0</v>
      </c>
      <c r="D8" s="59" t="str">
        <f t="shared" si="0"/>
        <v xml:space="preserve"> </v>
      </c>
      <c r="E8" s="59" t="str">
        <f t="shared" si="1"/>
        <v xml:space="preserve"> </v>
      </c>
      <c r="F8" s="59" t="str">
        <f t="shared" si="2"/>
        <v xml:space="preserve"> </v>
      </c>
      <c r="G8" s="61"/>
    </row>
    <row r="9" spans="1:7" ht="17.25" thickBot="1" x14ac:dyDescent="0.25">
      <c r="A9" s="60" t="s">
        <v>0</v>
      </c>
      <c r="B9" s="56" t="s">
        <v>0</v>
      </c>
      <c r="C9" s="56" t="s">
        <v>0</v>
      </c>
      <c r="D9" s="59" t="str">
        <f t="shared" si="0"/>
        <v xml:space="preserve"> </v>
      </c>
      <c r="E9" s="59" t="str">
        <f t="shared" si="1"/>
        <v xml:space="preserve"> </v>
      </c>
      <c r="F9" s="59" t="str">
        <f t="shared" si="2"/>
        <v xml:space="preserve"> </v>
      </c>
      <c r="G9" s="61"/>
    </row>
    <row r="10" spans="1:7" ht="17.25" thickBot="1" x14ac:dyDescent="0.35">
      <c r="A10" s="67" t="s">
        <v>124</v>
      </c>
      <c r="B10" s="68"/>
      <c r="C10" s="68"/>
      <c r="D10" s="68">
        <f>SUM(D5:D9)</f>
        <v>0</v>
      </c>
      <c r="E10" s="68">
        <f>SUM(E5:E9)</f>
        <v>0</v>
      </c>
      <c r="F10" s="68">
        <f>SUM(F5:F9)</f>
        <v>0</v>
      </c>
      <c r="G10" s="69"/>
    </row>
    <row r="11" spans="1:7" x14ac:dyDescent="0.2">
      <c r="A11" s="6"/>
      <c r="B11" s="7"/>
      <c r="C11" s="7"/>
      <c r="D11" s="7"/>
      <c r="E11" s="7"/>
      <c r="F11" s="7"/>
      <c r="G11" s="6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</sheetData>
  <sheetProtection sheet="1" objects="1" scenarios="1"/>
  <mergeCells count="6">
    <mergeCell ref="B3:B4"/>
    <mergeCell ref="C3:C4"/>
    <mergeCell ref="A1:G1"/>
    <mergeCell ref="B2:F2"/>
    <mergeCell ref="A3:A4"/>
    <mergeCell ref="G3:G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0" sqref="D10"/>
    </sheetView>
  </sheetViews>
  <sheetFormatPr defaultRowHeight="12.75" x14ac:dyDescent="0.2"/>
  <cols>
    <col min="1" max="1" width="30.7109375" customWidth="1"/>
    <col min="2" max="3" width="6.710937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29" t="s">
        <v>156</v>
      </c>
      <c r="B1" s="119"/>
      <c r="C1" s="119"/>
      <c r="D1" s="119"/>
      <c r="E1" s="119"/>
      <c r="F1" s="119"/>
      <c r="G1" s="120"/>
    </row>
    <row r="2" spans="1:7" s="12" customFormat="1" ht="27" customHeight="1" thickBot="1" x14ac:dyDescent="0.25">
      <c r="A2" s="10"/>
      <c r="B2" s="128"/>
      <c r="C2" s="128"/>
      <c r="D2" s="128"/>
      <c r="E2" s="128"/>
      <c r="F2" s="128"/>
      <c r="G2" s="10"/>
    </row>
    <row r="3" spans="1:7" ht="13.5" customHeight="1" x14ac:dyDescent="0.3">
      <c r="A3" s="121" t="s">
        <v>146</v>
      </c>
      <c r="B3" s="130" t="s">
        <v>168</v>
      </c>
      <c r="C3" s="130" t="s">
        <v>169</v>
      </c>
      <c r="D3" s="45"/>
      <c r="E3" s="44" t="s">
        <v>142</v>
      </c>
      <c r="F3" s="45"/>
      <c r="G3" s="123" t="s">
        <v>76</v>
      </c>
    </row>
    <row r="4" spans="1:7" ht="16.5" customHeight="1" x14ac:dyDescent="0.3">
      <c r="A4" s="122" t="s">
        <v>143</v>
      </c>
      <c r="B4" s="131"/>
      <c r="C4" s="131"/>
      <c r="D4" s="54" t="s">
        <v>126</v>
      </c>
      <c r="E4" s="54" t="s">
        <v>127</v>
      </c>
      <c r="F4" s="54" t="s">
        <v>144</v>
      </c>
      <c r="G4" s="124" t="s">
        <v>145</v>
      </c>
    </row>
    <row r="5" spans="1:7" ht="16.5" x14ac:dyDescent="0.2">
      <c r="A5" s="60" t="s">
        <v>0</v>
      </c>
      <c r="B5" s="56"/>
      <c r="C5" s="56"/>
      <c r="D5" s="59" t="str">
        <f>IF(AND(ISNUMBER($B5),ISNUMBER($C5)),IF(OR(AND($B5&lt;=19,$C5&lt;=1),AND($B5&lt;=5,$C5&lt;=3)),1,0)," ")</f>
        <v xml:space="preserve"> </v>
      </c>
      <c r="E5" s="59" t="str">
        <f>IF(AND(ISNUMBER($B5),ISNUMBER($C5)),IF(OR(AND($B5&gt;19,$C5&lt;=1),AND($B5&gt;5,$B5&lt;=19,$C5&gt;1,$C5&lt;=3),AND($B5&lt;=5,$C5&gt;3)),1,0)," ")</f>
        <v xml:space="preserve"> </v>
      </c>
      <c r="F5" s="59" t="str">
        <f t="shared" ref="F5:F10" si="0">IF(AND(ISNUMBER($B5),ISNUMBER($C5)),IF(OR(AND($B5&gt;5,$C5&gt;3),AND($B5&gt;19,$C5&gt;1)),1,0)," ")</f>
        <v xml:space="preserve"> </v>
      </c>
      <c r="G5" s="61"/>
    </row>
    <row r="6" spans="1:7" ht="16.5" x14ac:dyDescent="0.2">
      <c r="A6" s="60"/>
      <c r="B6" s="56"/>
      <c r="C6" s="56"/>
      <c r="D6" s="59" t="str">
        <f t="shared" ref="D6:D10" si="1">IF(AND(ISNUMBER($B6),ISNUMBER($C6)),IF(OR(AND($B6&lt;=19,$C6&lt;=1),AND($B6&lt;=5,$C6&lt;=3)),1,0)," ")</f>
        <v xml:space="preserve"> </v>
      </c>
      <c r="E6" s="59" t="str">
        <f t="shared" ref="E6:E10" si="2">IF(AND(ISNUMBER($B6),ISNUMBER($C6)),IF(OR(AND($B6&gt;19,$C6&lt;=1),AND($B6&gt;5,$B6&lt;=19,$C6&gt;1,$C6&lt;=3),AND($B6&lt;=5,$C6&gt;3)),1,0)," ")</f>
        <v xml:space="preserve"> </v>
      </c>
      <c r="F6" s="59" t="str">
        <f t="shared" si="0"/>
        <v xml:space="preserve"> </v>
      </c>
      <c r="G6" s="61"/>
    </row>
    <row r="7" spans="1:7" ht="16.5" x14ac:dyDescent="0.2">
      <c r="A7" s="60" t="s">
        <v>0</v>
      </c>
      <c r="B7" s="56" t="s">
        <v>155</v>
      </c>
      <c r="C7" s="56" t="s">
        <v>0</v>
      </c>
      <c r="D7" s="59" t="str">
        <f t="shared" si="1"/>
        <v xml:space="preserve"> </v>
      </c>
      <c r="E7" s="59" t="str">
        <f t="shared" si="2"/>
        <v xml:space="preserve"> </v>
      </c>
      <c r="F7" s="59" t="str">
        <f t="shared" si="0"/>
        <v xml:space="preserve"> </v>
      </c>
      <c r="G7" s="61"/>
    </row>
    <row r="8" spans="1:7" ht="16.5" x14ac:dyDescent="0.2">
      <c r="A8" s="60" t="s">
        <v>0</v>
      </c>
      <c r="B8" s="56" t="s">
        <v>0</v>
      </c>
      <c r="C8" s="56" t="s">
        <v>0</v>
      </c>
      <c r="D8" s="59" t="str">
        <f t="shared" si="1"/>
        <v xml:space="preserve"> </v>
      </c>
      <c r="E8" s="59" t="str">
        <f t="shared" si="2"/>
        <v xml:space="preserve"> </v>
      </c>
      <c r="F8" s="59" t="str">
        <f t="shared" si="0"/>
        <v xml:space="preserve"> </v>
      </c>
      <c r="G8" s="61"/>
    </row>
    <row r="9" spans="1:7" ht="16.5" x14ac:dyDescent="0.2">
      <c r="A9" s="60"/>
      <c r="B9" s="56"/>
      <c r="C9" s="56"/>
      <c r="D9" s="59" t="str">
        <f t="shared" si="1"/>
        <v xml:space="preserve"> </v>
      </c>
      <c r="E9" s="59" t="str">
        <f t="shared" si="2"/>
        <v xml:space="preserve"> </v>
      </c>
      <c r="F9" s="59" t="str">
        <f t="shared" si="0"/>
        <v xml:space="preserve"> </v>
      </c>
      <c r="G9" s="61"/>
    </row>
    <row r="10" spans="1:7" ht="17.25" thickBot="1" x14ac:dyDescent="0.25">
      <c r="A10" s="60"/>
      <c r="B10" s="56"/>
      <c r="C10" s="56"/>
      <c r="D10" s="59" t="str">
        <f t="shared" si="1"/>
        <v xml:space="preserve"> </v>
      </c>
      <c r="E10" s="59" t="str">
        <f t="shared" si="2"/>
        <v xml:space="preserve"> </v>
      </c>
      <c r="F10" s="59" t="str">
        <f t="shared" si="0"/>
        <v xml:space="preserve"> </v>
      </c>
      <c r="G10" s="61"/>
    </row>
    <row r="11" spans="1:7" ht="17.25" thickBot="1" x14ac:dyDescent="0.35">
      <c r="A11" s="67" t="s">
        <v>124</v>
      </c>
      <c r="B11" s="68"/>
      <c r="C11" s="68"/>
      <c r="D11" s="68">
        <f>SUM(D5:D10)</f>
        <v>0</v>
      </c>
      <c r="E11" s="68">
        <f>SUM(E5:E10)</f>
        <v>0</v>
      </c>
      <c r="F11" s="68">
        <f>SUM(F5:F10)</f>
        <v>0</v>
      </c>
      <c r="G11" s="69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</sheetData>
  <sheetProtection sheet="1" objects="1" scenarios="1"/>
  <mergeCells count="6">
    <mergeCell ref="B3:B4"/>
    <mergeCell ref="C3:C4"/>
    <mergeCell ref="A1:G1"/>
    <mergeCell ref="B2:F2"/>
    <mergeCell ref="A3:A4"/>
    <mergeCell ref="G3:G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V20"/>
  <sheetViews>
    <sheetView showGridLines="0" workbookViewId="0">
      <selection activeCell="A3" sqref="A3:A4"/>
    </sheetView>
  </sheetViews>
  <sheetFormatPr defaultRowHeight="12.75" x14ac:dyDescent="0.2"/>
  <cols>
    <col min="1" max="1" width="30.7109375" customWidth="1"/>
    <col min="2" max="3" width="6.7109375" style="1" customWidth="1"/>
    <col min="4" max="4" width="7.7109375" style="1" customWidth="1"/>
    <col min="5" max="6" width="6.7109375" style="1" customWidth="1"/>
    <col min="7" max="8" width="7.7109375" style="1" customWidth="1"/>
    <col min="9" max="9" width="10.7109375" style="1" customWidth="1"/>
    <col min="10" max="10" width="7.7109375" style="1" customWidth="1"/>
    <col min="11" max="11" width="19.85546875" customWidth="1"/>
  </cols>
  <sheetData>
    <row r="1" spans="1:22" ht="27" customHeight="1" thickBot="1" x14ac:dyDescent="0.25">
      <c r="A1" s="118" t="s">
        <v>147</v>
      </c>
      <c r="B1" s="119"/>
      <c r="C1" s="119"/>
      <c r="D1" s="119"/>
      <c r="E1" s="119"/>
      <c r="F1" s="119"/>
      <c r="G1" s="119"/>
      <c r="H1" s="119"/>
      <c r="I1" s="119"/>
      <c r="J1" s="119"/>
      <c r="K1" s="120"/>
    </row>
    <row r="2" spans="1:22" ht="27" customHeight="1" thickBo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22" ht="16.5" x14ac:dyDescent="0.3">
      <c r="A3" s="136" t="s">
        <v>82</v>
      </c>
      <c r="B3" s="132" t="s">
        <v>150</v>
      </c>
      <c r="C3" s="133"/>
      <c r="D3" s="134"/>
      <c r="E3" s="135" t="s">
        <v>149</v>
      </c>
      <c r="F3" s="133"/>
      <c r="G3" s="134"/>
      <c r="H3" s="135" t="s">
        <v>148</v>
      </c>
      <c r="I3" s="133"/>
      <c r="J3" s="134"/>
      <c r="K3" s="138" t="s">
        <v>76</v>
      </c>
    </row>
    <row r="4" spans="1:22" ht="33" x14ac:dyDescent="0.3">
      <c r="A4" s="137"/>
      <c r="B4" s="72" t="s">
        <v>152</v>
      </c>
      <c r="C4" s="55" t="s">
        <v>153</v>
      </c>
      <c r="D4" s="55" t="s">
        <v>78</v>
      </c>
      <c r="E4" s="55" t="s">
        <v>154</v>
      </c>
      <c r="F4" s="55" t="s">
        <v>151</v>
      </c>
      <c r="G4" s="55" t="s">
        <v>83</v>
      </c>
      <c r="H4" s="55" t="s">
        <v>79</v>
      </c>
      <c r="I4" s="55" t="s">
        <v>84</v>
      </c>
      <c r="J4" s="55" t="s">
        <v>75</v>
      </c>
      <c r="K4" s="139"/>
    </row>
    <row r="5" spans="1:22" s="71" customFormat="1" ht="16.5" x14ac:dyDescent="0.2">
      <c r="A5" s="60"/>
      <c r="B5" s="73"/>
      <c r="C5" s="73"/>
      <c r="D5" s="74" t="str">
        <f>IF(AND(ISNUMBER($B5),ISNUMBER($C5)),IF(OR(AND($B5&lt;=15,$C5&lt;=1),AND($B5&lt;=4,$C5&lt;=2)),"低",IF(OR(AND($B5&gt;15,$C5&lt;=1),AND($B5&gt;4,$B5&lt;=15,$C5&gt;1,$C5&lt;=2),AND($B5&lt;=4,$C5&gt;2)),"中",IF(OR(AND($B5&gt;4,$C5&gt;2),AND($B5&gt;15,$C5&gt;1)),"高")))," ")</f>
        <v xml:space="preserve"> </v>
      </c>
      <c r="E5" s="73"/>
      <c r="F5" s="73"/>
      <c r="G5" s="74" t="str">
        <f>IF(AND(ISNUMBER($E5),ISNUMBER($F5)),IF(OR(AND($E5&lt;=19,$F5&lt;=1),AND($E5&lt;=5,$F5&lt;=3)),"低",IF(OR(AND($E5&gt;19,$F5&lt;=1),AND($E5&gt;5,$E5&lt;=19,$F5&gt;1,$F5&lt;=3),AND($E5&lt;=5,$F5&gt;3)),"中",IF(OR(AND($E5&gt;5,$F5&gt;3),AND($E5&gt;19,$F5&gt;1)),"高")))," ")</f>
        <v xml:space="preserve"> </v>
      </c>
      <c r="H5" s="75" t="str">
        <f>IF(AND(ISNUMBER($B5),ISNUMBER($C5),ISNUMBER($E5),ISNUMBER($F5)),IF(AND(D5="低",G5="低"),1,0)," ")</f>
        <v xml:space="preserve"> </v>
      </c>
      <c r="I5" s="75" t="str">
        <f t="shared" ref="I5:I10" si="0">IF(AND(ISNUMBER($B5),ISNUMBER($C5),ISNUMBER($E5),ISNUMBER($F5)),IF(AND($H5=0,J5=0),1,0)," ")</f>
        <v xml:space="preserve"> </v>
      </c>
      <c r="J5" s="75" t="str">
        <f>IF(AND(ISNUMBER($B5),ISNUMBER($C5),ISNUMBER($E5),ISNUMBER($F5)),IF(OR($D5="高",$G5="高"),1,0)," ")</f>
        <v xml:space="preserve"> </v>
      </c>
      <c r="K5" s="61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1:22" ht="16.5" x14ac:dyDescent="0.2">
      <c r="A6" s="64" t="s">
        <v>0</v>
      </c>
      <c r="B6" s="76" t="s">
        <v>0</v>
      </c>
      <c r="C6" s="76" t="s">
        <v>0</v>
      </c>
      <c r="D6" s="77" t="str">
        <f t="shared" ref="D6:D10" si="1">IF(AND(ISNUMBER($B6),ISNUMBER($C6)),IF(OR(AND($B6&lt;=15,$C6&lt;=1),AND($B6&lt;=4,$C6&lt;=2)),"Low",IF(OR(AND($B6&gt;15,$C6&lt;=1),AND($B6&gt;4,$B6&lt;=15,$C6&gt;1,$C6&lt;=2),AND($B6&lt;=4,$C6&gt;2)),"Avg",IF(OR(AND($B6&gt;4,$C6&gt;2),AND($B6&gt;15,$C6&gt;1)),"High")))," ")</f>
        <v xml:space="preserve"> </v>
      </c>
      <c r="E6" s="76" t="s">
        <v>0</v>
      </c>
      <c r="F6" s="76" t="s">
        <v>0</v>
      </c>
      <c r="G6" s="77" t="str">
        <f t="shared" ref="G6:G10" si="2">IF(AND(ISNUMBER($E6),ISNUMBER($F6)),IF(OR(AND($E6&lt;=19,$F6&lt;=1),AND($E6&lt;=5,$F6&lt;=3)),"Low",IF(OR(AND($E6&gt;19,$F6&lt;=1),AND($E6&gt;5,$E6&lt;=19,$F6&gt;1,$F6&lt;=3),AND($E6&lt;=5,$F6&gt;3)),"Avg",IF(OR(AND($E6&gt;5,$F6&gt;3),AND($E6&gt;19,$F6&gt;1)),"High")))," ")</f>
        <v xml:space="preserve"> </v>
      </c>
      <c r="H6" s="78" t="str">
        <f t="shared" ref="H6:H10" si="3">IF(AND(ISNUMBER($B6),ISNUMBER($C6),ISNUMBER($E6),ISNUMBER($F6)),IF(AND(D6="Low",G6="Low"),1,0)," ")</f>
        <v xml:space="preserve"> </v>
      </c>
      <c r="I6" s="78" t="str">
        <f t="shared" si="0"/>
        <v xml:space="preserve"> </v>
      </c>
      <c r="J6" s="78" t="str">
        <f t="shared" ref="J6:J10" si="4">IF(AND(ISNUMBER($B6),ISNUMBER($C6),ISNUMBER($E6),ISNUMBER($F6)),IF(OR($D6="High",$G6="High"),1,0)," ")</f>
        <v xml:space="preserve"> </v>
      </c>
      <c r="K6" s="66"/>
    </row>
    <row r="7" spans="1:22" ht="16.5" x14ac:dyDescent="0.2">
      <c r="A7" s="60" t="s">
        <v>0</v>
      </c>
      <c r="B7" s="73" t="s">
        <v>0</v>
      </c>
      <c r="C7" s="73" t="s">
        <v>0</v>
      </c>
      <c r="D7" s="74" t="str">
        <f t="shared" si="1"/>
        <v xml:space="preserve"> </v>
      </c>
      <c r="E7" s="73" t="s">
        <v>0</v>
      </c>
      <c r="F7" s="73" t="s">
        <v>0</v>
      </c>
      <c r="G7" s="74" t="str">
        <f t="shared" si="2"/>
        <v xml:space="preserve"> </v>
      </c>
      <c r="H7" s="75" t="str">
        <f t="shared" si="3"/>
        <v xml:space="preserve"> </v>
      </c>
      <c r="I7" s="75" t="str">
        <f t="shared" si="0"/>
        <v xml:space="preserve"> </v>
      </c>
      <c r="J7" s="75" t="str">
        <f t="shared" si="4"/>
        <v xml:space="preserve"> </v>
      </c>
      <c r="K7" s="61"/>
    </row>
    <row r="8" spans="1:22" ht="16.5" x14ac:dyDescent="0.2">
      <c r="A8" s="60" t="s">
        <v>0</v>
      </c>
      <c r="B8" s="73" t="s">
        <v>0</v>
      </c>
      <c r="C8" s="73" t="s">
        <v>0</v>
      </c>
      <c r="D8" s="74" t="str">
        <f t="shared" si="1"/>
        <v xml:space="preserve"> </v>
      </c>
      <c r="E8" s="73" t="s">
        <v>0</v>
      </c>
      <c r="F8" s="73" t="s">
        <v>0</v>
      </c>
      <c r="G8" s="74" t="str">
        <f t="shared" si="2"/>
        <v xml:space="preserve"> </v>
      </c>
      <c r="H8" s="75" t="str">
        <f t="shared" si="3"/>
        <v xml:space="preserve"> </v>
      </c>
      <c r="I8" s="75" t="str">
        <f t="shared" si="0"/>
        <v xml:space="preserve"> </v>
      </c>
      <c r="J8" s="75" t="str">
        <f t="shared" si="4"/>
        <v xml:space="preserve"> </v>
      </c>
      <c r="K8" s="61"/>
    </row>
    <row r="9" spans="1:22" ht="16.5" x14ac:dyDescent="0.2">
      <c r="A9" s="60" t="s">
        <v>0</v>
      </c>
      <c r="B9" s="73" t="s">
        <v>0</v>
      </c>
      <c r="C9" s="73" t="s">
        <v>0</v>
      </c>
      <c r="D9" s="74" t="str">
        <f t="shared" si="1"/>
        <v xml:space="preserve"> </v>
      </c>
      <c r="E9" s="73" t="s">
        <v>0</v>
      </c>
      <c r="F9" s="73" t="s">
        <v>0</v>
      </c>
      <c r="G9" s="74" t="str">
        <f t="shared" si="2"/>
        <v xml:space="preserve"> </v>
      </c>
      <c r="H9" s="75" t="str">
        <f t="shared" ref="H9" si="5">IF(AND(ISNUMBER($B9),ISNUMBER($C9),ISNUMBER($E9),ISNUMBER($F9)),IF(AND(D9="Low",G9="Low"),1,0)," ")</f>
        <v xml:space="preserve"> </v>
      </c>
      <c r="I9" s="75" t="str">
        <f t="shared" ref="I9" si="6">IF(AND(ISNUMBER($B9),ISNUMBER($C9),ISNUMBER($E9),ISNUMBER($F9)),IF(AND($H9=0,J9=0),1,0)," ")</f>
        <v xml:space="preserve"> </v>
      </c>
      <c r="J9" s="75" t="str">
        <f t="shared" si="4"/>
        <v xml:space="preserve"> </v>
      </c>
      <c r="K9" s="61"/>
    </row>
    <row r="10" spans="1:22" ht="16.5" x14ac:dyDescent="0.2">
      <c r="A10" s="60" t="s">
        <v>0</v>
      </c>
      <c r="B10" s="73" t="s">
        <v>0</v>
      </c>
      <c r="C10" s="73" t="s">
        <v>0</v>
      </c>
      <c r="D10" s="74" t="str">
        <f t="shared" si="1"/>
        <v xml:space="preserve"> </v>
      </c>
      <c r="E10" s="73" t="s">
        <v>0</v>
      </c>
      <c r="F10" s="73" t="s">
        <v>0</v>
      </c>
      <c r="G10" s="74" t="str">
        <f t="shared" si="2"/>
        <v xml:space="preserve"> </v>
      </c>
      <c r="H10" s="75" t="str">
        <f t="shared" si="3"/>
        <v xml:space="preserve"> </v>
      </c>
      <c r="I10" s="75" t="str">
        <f t="shared" si="0"/>
        <v xml:space="preserve"> </v>
      </c>
      <c r="J10" s="75" t="str">
        <f t="shared" si="4"/>
        <v xml:space="preserve"> </v>
      </c>
      <c r="K10" s="61"/>
    </row>
    <row r="11" spans="1:22" ht="17.25" thickBot="1" x14ac:dyDescent="0.35">
      <c r="A11" s="62" t="s">
        <v>85</v>
      </c>
      <c r="B11" s="79"/>
      <c r="C11" s="79"/>
      <c r="D11" s="79"/>
      <c r="E11" s="79"/>
      <c r="F11" s="79"/>
      <c r="G11" s="79"/>
      <c r="H11" s="79">
        <f>SUM(H5:H10)</f>
        <v>0</v>
      </c>
      <c r="I11" s="79">
        <f>SUM(I5:I10)</f>
        <v>0</v>
      </c>
      <c r="J11" s="79">
        <f>SUM(J5:J10)</f>
        <v>0</v>
      </c>
      <c r="K11" s="63"/>
    </row>
    <row r="12" spans="1:22" x14ac:dyDescent="0.2">
      <c r="A12" s="6"/>
      <c r="B12" s="7"/>
      <c r="C12" s="7"/>
      <c r="D12" s="7"/>
      <c r="E12" s="7"/>
      <c r="F12" s="7"/>
      <c r="G12" s="7"/>
      <c r="H12" s="7"/>
      <c r="I12" s="7"/>
      <c r="J12" s="7"/>
      <c r="K12" s="6"/>
    </row>
    <row r="13" spans="1:22" x14ac:dyDescent="0.2">
      <c r="A13" s="6"/>
      <c r="B13" s="7"/>
      <c r="C13" s="7"/>
      <c r="D13" s="7"/>
      <c r="E13" s="7"/>
      <c r="F13" s="7"/>
      <c r="G13" s="7"/>
      <c r="H13" s="7"/>
      <c r="I13" s="7"/>
      <c r="J13" s="7"/>
      <c r="K13" s="6"/>
    </row>
    <row r="14" spans="1:22" x14ac:dyDescent="0.2">
      <c r="A14" s="6"/>
      <c r="B14" s="7"/>
      <c r="C14" s="7"/>
      <c r="D14" s="7"/>
      <c r="E14" s="7"/>
      <c r="F14" s="7"/>
      <c r="G14" s="7"/>
      <c r="H14" s="7"/>
      <c r="J14" s="7"/>
      <c r="K14" s="6"/>
    </row>
    <row r="15" spans="1:22" x14ac:dyDescent="0.2">
      <c r="A15" s="6"/>
      <c r="B15" s="7"/>
      <c r="C15" s="7"/>
      <c r="D15" s="7"/>
      <c r="E15" s="7"/>
      <c r="F15" s="7"/>
      <c r="G15" s="7"/>
      <c r="H15" s="7"/>
      <c r="J15" s="7"/>
      <c r="K15" s="6"/>
    </row>
    <row r="16" spans="1:22" x14ac:dyDescent="0.2">
      <c r="A16" s="6"/>
      <c r="B16" s="7"/>
      <c r="C16" s="7"/>
      <c r="D16" s="7"/>
      <c r="E16" s="7"/>
      <c r="F16" s="7"/>
      <c r="G16" s="7"/>
      <c r="H16" s="7"/>
      <c r="J16" s="7"/>
      <c r="K16" s="6"/>
    </row>
    <row r="17" spans="1:11" x14ac:dyDescent="0.2">
      <c r="A17" s="6"/>
      <c r="B17" s="7"/>
      <c r="C17" s="7"/>
      <c r="D17" s="7"/>
      <c r="E17" s="7"/>
      <c r="F17" s="7"/>
      <c r="G17" s="7"/>
      <c r="H17" s="7"/>
      <c r="J17" s="7"/>
      <c r="K17" s="6"/>
    </row>
    <row r="18" spans="1:11" x14ac:dyDescent="0.2">
      <c r="A18" s="6"/>
      <c r="B18" s="7"/>
      <c r="C18" s="7"/>
      <c r="D18" s="7"/>
      <c r="E18" s="7"/>
      <c r="F18" s="7"/>
      <c r="G18" s="7"/>
      <c r="H18" s="7"/>
      <c r="J18" s="7"/>
      <c r="K18" s="6"/>
    </row>
    <row r="19" spans="1:11" x14ac:dyDescent="0.2">
      <c r="A19" s="6"/>
      <c r="B19" s="7"/>
      <c r="C19" s="7"/>
      <c r="D19" s="7"/>
      <c r="E19" s="7"/>
      <c r="F19" s="7"/>
      <c r="G19" s="7"/>
      <c r="H19" s="7"/>
      <c r="J19" s="7"/>
      <c r="K19" s="6"/>
    </row>
    <row r="20" spans="1:11" x14ac:dyDescent="0.2">
      <c r="A20" s="6"/>
      <c r="B20" s="7"/>
      <c r="C20" s="7"/>
      <c r="D20" s="7"/>
      <c r="E20" s="7"/>
      <c r="F20" s="7"/>
      <c r="G20" s="7"/>
      <c r="H20" s="7"/>
      <c r="J20" s="7"/>
      <c r="K20" s="6"/>
    </row>
  </sheetData>
  <sheetProtection sheet="1" objects="1" scenarios="1"/>
  <mergeCells count="6">
    <mergeCell ref="A1:K1"/>
    <mergeCell ref="B3:D3"/>
    <mergeCell ref="E3:G3"/>
    <mergeCell ref="H3:J3"/>
    <mergeCell ref="A3:A4"/>
    <mergeCell ref="K3:K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2.75" x14ac:dyDescent="0.2"/>
  <sheetData/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Backfiring</vt:lpstr>
      <vt:lpstr>Instructions</vt:lpstr>
      <vt:lpstr>Result</vt:lpstr>
      <vt:lpstr>TCF</vt:lpstr>
      <vt:lpstr>FPs</vt:lpstr>
      <vt:lpstr>ILFs</vt:lpstr>
      <vt:lpstr>EIFs</vt:lpstr>
      <vt:lpstr>EIs</vt:lpstr>
      <vt:lpstr>EOs</vt:lpstr>
      <vt:lpstr>EQs</vt:lpstr>
      <vt:lpstr>degrees</vt:lpstr>
      <vt:lpstr>language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李灯举</dc:creator>
  <cp:lastModifiedBy>李灯举</cp:lastModifiedBy>
  <cp:lastPrinted>2015-11-06T20:38:51Z</cp:lastPrinted>
  <dcterms:created xsi:type="dcterms:W3CDTF">1996-04-29T18:37:58Z</dcterms:created>
  <dcterms:modified xsi:type="dcterms:W3CDTF">2015-11-10T07:45:09Z</dcterms:modified>
</cp:coreProperties>
</file>